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F:\LingjingLan\0.ESG\week12\GT\Financials\DBS\"/>
    </mc:Choice>
  </mc:AlternateContent>
  <xr:revisionPtr revIDLastSave="0" documentId="13_ncr:1_{AAC77C36-3F67-4DE0-A8DC-EBB80FC60D2F}" xr6:coauthVersionLast="47" xr6:coauthVersionMax="47" xr10:uidLastSave="{00000000-0000-0000-0000-000000000000}"/>
  <bookViews>
    <workbookView xWindow="528" yWindow="1632" windowWidth="17628" windowHeight="12408" xr2:uid="{00000000-000D-0000-FFFF-FFFF00000000}"/>
  </bookViews>
  <sheets>
    <sheet name="Commercial Banks" sheetId="1" r:id="rId1"/>
  </sheets>
  <externalReferences>
    <externalReference r:id="rId2"/>
  </externalReferences>
  <definedNames>
    <definedName name="_xlnm._FilterDatabase" localSheetId="0" hidden="1">'Commercial Banks'!$A$1:$J$30</definedName>
  </definedNames>
  <calcPr calcId="191029"/>
</workbook>
</file>

<file path=xl/calcChain.xml><?xml version="1.0" encoding="utf-8"?>
<calcChain xmlns="http://schemas.openxmlformats.org/spreadsheetml/2006/main">
  <c r="J30" i="1" l="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<sst xmlns="http://schemas.openxmlformats.org/spreadsheetml/2006/main" count="234" uniqueCount="93">
  <si>
    <t>Metric</t>
  </si>
  <si>
    <t>Category</t>
  </si>
  <si>
    <t>Unit</t>
  </si>
  <si>
    <t>Code</t>
  </si>
  <si>
    <t>Topic</t>
  </si>
  <si>
    <t>Type</t>
  </si>
  <si>
    <t>disclose_status</t>
  </si>
  <si>
    <t>value</t>
  </si>
  <si>
    <t>page</t>
  </si>
  <si>
    <t>qwen</t>
  </si>
  <si>
    <t>(1) Number of data breache</t>
  </si>
  <si>
    <t>Quantitative</t>
  </si>
  <si>
    <t>Number, Percentage (%)</t>
  </si>
  <si>
    <t>FN-CB-230a.1</t>
  </si>
  <si>
    <t>Data Security</t>
  </si>
  <si>
    <t>Sustainability Disclosure Topics &amp; Metrics</t>
  </si>
  <si>
    <t>not_disclosed</t>
  </si>
  <si>
    <t>No material instances of data breaches in 2024</t>
  </si>
  <si>
    <t>(2) percentage that are personal data breaches</t>
  </si>
  <si>
    <t>(3) number of account holders affected</t>
  </si>
  <si>
    <t>Description of approach to identifying and addressing data security risks</t>
  </si>
  <si>
    <t>Discussion and Analysis</t>
  </si>
  <si>
    <t>n/a</t>
  </si>
  <si>
    <t>FN-CB-230a.2</t>
  </si>
  <si>
    <t>fully_disclosed</t>
  </si>
  <si>
    <t>DBS continues strengthening technology resilience ... across four themes: system resilience, change management, incident management and technology risk governance and oversight ... Responsible Data Use (RDU) framework ... addresses three core questions: Can we use it? Should we use it? How do we use it?</t>
  </si>
  <si>
    <t>(1) Number of loans outstanding that qualify for programmes designed to promote small business and community development 2</t>
  </si>
  <si>
    <t>Number, Presentation currency</t>
  </si>
  <si>
    <t>FN-CB-240a.1</t>
  </si>
  <si>
    <t>Financial Inclusion &amp; Capacity Building</t>
  </si>
  <si>
    <t>approximately 4,000 unsecured loans to MSMEs in Singapore</t>
  </si>
  <si>
    <t xml:space="preserve"> (2) amount of loans outstanding that qualify for programmes designed to promote small business and community development </t>
  </si>
  <si>
    <t>over SGD 1 billion in loans to low-income segments in Indonesia; SGD 3.4 billion Priority Sector Lending portfolio in India; approximately 4,000 unsecured loans totalling SGD 500 million to MSMEs in Singapore</t>
  </si>
  <si>
    <t>(1) Number of past due and nonaccrual loans or loans subject to forbearance that qualify for programmes designed to promote small business and community development</t>
  </si>
  <si>
    <t>FN-CB-240a.2</t>
  </si>
  <si>
    <t>not disclosed in current report</t>
  </si>
  <si>
    <t xml:space="preserve"> (2) amount of past due and nonaccrual loans or loans subject to forbearance that qualify for programmes designed to promote small business and community development</t>
  </si>
  <si>
    <t>Number of no-cost retail checking accounts provided to previously unbanked or underbanked customers</t>
  </si>
  <si>
    <t>Number</t>
  </si>
  <si>
    <t>FN-CB-240a.3</t>
  </si>
  <si>
    <t>over 1.6 million individuals living in rural areas held BSBDAs, with total savings amounting to SGD 5 million</t>
  </si>
  <si>
    <t>Number of participants in financial literacy initiatives for unbanked, underbanked, or underserved customers 3</t>
  </si>
  <si>
    <t>FN-CB-240a.4</t>
  </si>
  <si>
    <t>over 230,000 students across more than 250 schools; over 19,000 active agers; close to 3,000 participants</t>
  </si>
  <si>
    <t>Description of approach to incorporation of environmental, social and governance (ESG) factors in credit analysis</t>
  </si>
  <si>
    <t>FN-CB-410a.2</t>
  </si>
  <si>
    <t>Incorporation of Environmental, Social, and Governance Factors in Credit Analysis</t>
  </si>
  <si>
    <t>The Group Responsible Financing Standard sets forth the principles of systematic ESG risk assessment and forms an integral part of our credit risk assessment process... RMs assess clients on ESG parameters using our enhanced ERQ, which generates a ESG Risk Score...</t>
  </si>
  <si>
    <t>Absolute gross financed emissions, disaggregated by (1) Scope 1</t>
  </si>
  <si>
    <r>
      <rPr>
        <sz val="11"/>
        <color theme="1"/>
        <rFont val="Arial"/>
        <family val="2"/>
      </rPr>
      <t>Metric tons (t) CO</t>
    </r>
    <r>
      <rPr>
        <sz val="11"/>
        <color theme="1"/>
        <rFont val="Times New Roman"/>
        <family val="1"/>
      </rPr>
      <t>₂</t>
    </r>
    <r>
      <rPr>
        <sz val="11"/>
        <color theme="1"/>
        <rFont val="Arial"/>
        <family val="2"/>
      </rPr>
      <t>-e</t>
    </r>
  </si>
  <si>
    <t>FN-CB-410b.1</t>
  </si>
  <si>
    <t>Financed Emissions</t>
  </si>
  <si>
    <t>Oil &amp; Gas ... Absolute financed emissions (MtCO2e) ... 26.4 in 2024</t>
  </si>
  <si>
    <t xml:space="preserve">Absolute gross financed emissions, disaggregated by  (2) Scope 2 </t>
  </si>
  <si>
    <t>Absolute gross financed emissions, disaggregated by (3) Scope 3</t>
  </si>
  <si>
    <t>Oil &amp; Gas ... Absolute financed emissions (MtCO2e) ... 26.4 in 2024; Net zero portfolio alignment ... Scope 3 financed emissions</t>
  </si>
  <si>
    <t>Gross exposure for each industry by asset class</t>
  </si>
  <si>
    <t>Presentation currency</t>
  </si>
  <si>
    <t>FN-CB-410b.2</t>
  </si>
  <si>
    <t>The exposure of the in-scope segments of our nine priority sectors ... constitutes close to 50% of our corporate lending book</t>
  </si>
  <si>
    <t>Percentage of gross exposure included in the financed emissions calculation</t>
  </si>
  <si>
    <t>Percentage %</t>
  </si>
  <si>
    <t>FN-CB-410b.3</t>
  </si>
  <si>
    <t>The exposure of the in-scope segments of our nine priority sectors ... constitutes close to 50% of our corporate lending book; Food &amp; Agribusiness 58%; Chemicals 45%</t>
  </si>
  <si>
    <t>Description of the methodology used to calculate financed emissions</t>
  </si>
  <si>
    <t>FN-CB-410b.4</t>
  </si>
  <si>
    <t>partially_disclosed</t>
  </si>
  <si>
    <t>we have utilised a range of data sources, reference scenarios and methodologies... We have retained our methodology for accounting for facilitated emissions from ECM and DCM underwritings... using a more conservative 100% attribution factor</t>
  </si>
  <si>
    <t>Total amount of monetary losses as a result of legal proceedings associated with fraud, insider trading, antitrust, anticompetitive behaviour, market manipulation, malpractice, or other related financial industry laws or regulations 4</t>
  </si>
  <si>
    <t>FN-CB-510a.1</t>
  </si>
  <si>
    <t>Business Ethics</t>
  </si>
  <si>
    <t>Description of whistleblower policies and procedures</t>
  </si>
  <si>
    <t>FN-CB-510a.2</t>
  </si>
  <si>
    <t>DBS Speak Up is our whistleblowing programme... hotline number, website, email address, fax number and postal address ... no retaliation is permitted against anyone who, in good faith, seeks advice, raises a concern of misconduct, or cooperates in an investigation</t>
  </si>
  <si>
    <t>Global Systemically Important Bank (GSIB) score, by category 5</t>
  </si>
  <si>
    <t>Basis points (bps)</t>
  </si>
  <si>
    <t>FN-CB-550a.1</t>
  </si>
  <si>
    <t>Systemic Risk Management</t>
  </si>
  <si>
    <t>Description of approach to integrate results of mandatory and voluntary stress tests into capital adequacy planning, longterm corporate strategy, and other business activities</t>
  </si>
  <si>
    <t>FN-CB-550a.2</t>
  </si>
  <si>
    <t>We have integrated these physical risk assessments into existing stress testing processes</t>
  </si>
  <si>
    <t>(1) Number of checking and savings accounts by segment: (a) personal and (b) small business</t>
  </si>
  <si>
    <t>FN-CB-000.A</t>
  </si>
  <si>
    <t>Activity Metrics</t>
  </si>
  <si>
    <t>(2) value of  checking and savings accounts by segment: (a) personal and (b) small business</t>
  </si>
  <si>
    <t>(1) Number of loans by segment: (a) personal</t>
  </si>
  <si>
    <t>FN-CB-000.B</t>
  </si>
  <si>
    <r>
      <rPr>
        <sz val="11"/>
        <color theme="1"/>
        <rFont val="Arial"/>
        <family val="2"/>
      </rPr>
      <t>(1) Number of loans by segment:</t>
    </r>
    <r>
      <rPr>
        <sz val="11"/>
        <color theme="1"/>
        <rFont val="等线"/>
        <charset val="134"/>
      </rPr>
      <t>（</t>
    </r>
    <r>
      <rPr>
        <sz val="11"/>
        <color theme="1"/>
        <rFont val="Arial"/>
        <family val="2"/>
      </rPr>
      <t>b) small business</t>
    </r>
  </si>
  <si>
    <t>(1) Number of loans by segment: (c) corporate6</t>
  </si>
  <si>
    <t>(2) value of loans by segment: (a) personal</t>
  </si>
  <si>
    <t>(2) value of loans by segment: (b) small business</t>
  </si>
  <si>
    <t>(2) value of loans by segment: (c) corporate6</t>
  </si>
  <si>
    <t>partially_disclosed</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</si>
</sst>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1"/>
      <color rgb="FF3C3C3B"/>
      <name val="Arial"/>
      <family val="2"/>
    </font>
    <font>
      <sz val="11"/>
      <color theme="1"/>
      <name val="Arial"/>
      <family val="2"/>
    </font>
    <font>
      <sz val="11"/>
      <color rgb="FF2A2B2E"/>
      <name val="Arial"/>
      <family val="2"/>
    </font>
    <font>
      <sz val="11"/>
      <color theme="1"/>
      <name val="Times New Roman"/>
      <family val="1"/>
    </font>
    <font>
      <sz val="11"/>
      <color theme="1"/>
      <name val="等线"/>
      <charset val="134"/>
    </font>
    <font>
      <sz val="9"/>
      <name val="等线"/>
      <charset val="134"/>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39994506668294322"/>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2" fillId="3" borderId="0" xfId="0" applyFont="1" applyFill="1" applyAlignment="1">
      <alignment vertical="center" wrapText="1"/>
    </xf>
    <xf numFmtId="0" fontId="1" fillId="0" borderId="0" xfId="0" applyFont="1" applyAlignment="1">
      <alignment horizontal="center" vertical="center" wrapText="1"/>
    </xf>
    <xf numFmtId="0" fontId="2" fillId="0" borderId="0" xfId="0" applyFont="1"/>
    <xf numFmtId="0" fontId="2"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xf>
    <xf numFmtId="0" fontId="2" fillId="4" borderId="0" xfId="0" applyFont="1" applyFill="1" applyAlignment="1">
      <alignment horizontal="center" vertical="center" wrapText="1"/>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SUS/Downloads/part3/&#12304;sasb%20&#12305;Financials/DBS/qwen-result/Commercial%20Banks_cfc41dff-6cd5-4150-8bd5-6259eb072557_compli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mark"/>
    </sheetNames>
    <sheetDataSet>
      <sheetData sheetId="0">
        <row r="3">
          <cell r="J3" t="str">
            <v>not_disclosed</v>
          </cell>
        </row>
        <row r="4">
          <cell r="J4" t="str">
            <v>partially_disclosed</v>
          </cell>
        </row>
        <row r="5">
          <cell r="J5" t="str">
            <v>partially_disclosed</v>
          </cell>
        </row>
        <row r="6">
          <cell r="J6" t="str">
            <v>partially_disclosed</v>
          </cell>
        </row>
        <row r="7">
          <cell r="J7" t="str">
            <v>partially_disclosed</v>
          </cell>
        </row>
        <row r="8">
          <cell r="J8" t="str">
            <v>partially_disclosed</v>
          </cell>
        </row>
        <row r="9">
          <cell r="J9" t="str">
            <v>partially_disclosed</v>
          </cell>
        </row>
        <row r="10">
          <cell r="J10" t="str">
            <v>partially_disclosed</v>
          </cell>
        </row>
        <row r="11">
          <cell r="J11" t="str">
            <v>partially_disclosed</v>
          </cell>
        </row>
        <row r="12">
          <cell r="J12" t="str">
            <v>fully_disclosed</v>
          </cell>
        </row>
        <row r="13">
          <cell r="J13" t="str">
            <v>partially_disclosed</v>
          </cell>
        </row>
        <row r="14">
          <cell r="J14" t="str">
            <v>not_disclosed</v>
          </cell>
        </row>
        <row r="15">
          <cell r="J15" t="str">
            <v>partially_disclosed</v>
          </cell>
        </row>
        <row r="16">
          <cell r="J16" t="str">
            <v>not_disclosed</v>
          </cell>
        </row>
        <row r="17">
          <cell r="J17" t="str">
            <v>partially_disclosed</v>
          </cell>
        </row>
        <row r="18">
          <cell r="J18" t="str">
            <v>partially_disclosed</v>
          </cell>
        </row>
        <row r="19">
          <cell r="J19" t="str">
            <v>not_disclosed</v>
          </cell>
        </row>
        <row r="20">
          <cell r="J20" t="str">
            <v>fully_disclosed</v>
          </cell>
        </row>
        <row r="21">
          <cell r="J21" t="str">
            <v>not_disclosed</v>
          </cell>
        </row>
        <row r="22">
          <cell r="J22" t="str">
            <v>fully_disclosed</v>
          </cell>
        </row>
        <row r="23">
          <cell r="J23" t="str">
            <v>not_disclosed</v>
          </cell>
        </row>
        <row r="24">
          <cell r="J24" t="str">
            <v>partially_disclosed</v>
          </cell>
        </row>
        <row r="25">
          <cell r="J25" t="str">
            <v>partially_disclosed</v>
          </cell>
        </row>
        <row r="26">
          <cell r="J26" t="str">
            <v>partially_disclosed</v>
          </cell>
        </row>
        <row r="27">
          <cell r="J27" t="str">
            <v>not_disclosed</v>
          </cell>
        </row>
        <row r="28">
          <cell r="J28" t="str">
            <v>not_disclosed</v>
          </cell>
        </row>
        <row r="29">
          <cell r="J29" t="str">
            <v>partially_disclosed</v>
          </cell>
        </row>
        <row r="30">
          <cell r="J30" t="str">
            <v>not_disclosed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topLeftCell="A6" zoomScale="85" zoomScaleNormal="85" workbookViewId="0">
      <selection activeCell="J24" sqref="J24"/>
    </sheetView>
  </sheetViews>
  <sheetFormatPr defaultColWidth="9" defaultRowHeight="13.8" x14ac:dyDescent="0.25"/>
  <cols>
    <col min="6" max="6" width="39" customWidth="1"/>
    <col min="7" max="7" width="28.77734375" customWidth="1"/>
  </cols>
  <sheetData>
    <row r="1" spans="1:11" ht="27.6" customHeight="1" x14ac:dyDescent="0.25">
      <c r="A1" s="1" t="s">
        <v>0</v>
      </c>
      <c r="B1" s="1" t="s">
        <v>1</v>
      </c>
      <c r="C1" s="1" t="s">
        <v>2</v>
      </c>
      <c r="D1" s="1" t="s">
        <v>3</v>
      </c>
      <c r="E1" s="1" t="s">
        <v>4</v>
      </c>
      <c r="F1" s="1" t="s">
        <v>5</v>
      </c>
      <c r="G1" s="2" t="s">
        <v>6</v>
      </c>
      <c r="H1" s="2" t="s">
        <v>7</v>
      </c>
      <c r="I1" s="2" t="s">
        <v>8</v>
      </c>
      <c r="J1" s="8" t="s">
        <v>9</v>
      </c>
      <c r="K1" s="9"/>
    </row>
    <row r="2" spans="1:11" ht="55.2" customHeight="1" x14ac:dyDescent="0.25">
      <c r="A2" s="3" t="s">
        <v>10</v>
      </c>
      <c r="B2" s="4" t="s">
        <v>11</v>
      </c>
      <c r="C2" s="4" t="s">
        <v>12</v>
      </c>
      <c r="D2" s="4" t="s">
        <v>13</v>
      </c>
      <c r="E2" s="4" t="s">
        <v>14</v>
      </c>
      <c r="F2" s="4" t="s">
        <v>15</v>
      </c>
      <c r="G2" s="5" t="s">
        <v>16</v>
      </c>
      <c r="H2" s="5" t="s">
        <v>17</v>
      </c>
      <c r="I2" s="5"/>
      <c r="J2" s="10">
        <f>IF([1]Benchmark!J2=G2,"",0)</f>
        <v>0</v>
      </c>
      <c r="K2" s="9"/>
    </row>
    <row r="3" spans="1:11" ht="96.6" customHeight="1" x14ac:dyDescent="0.25">
      <c r="A3" s="3" t="s">
        <v>18</v>
      </c>
      <c r="B3" s="4" t="s">
        <v>11</v>
      </c>
      <c r="C3" s="4" t="s">
        <v>12</v>
      </c>
      <c r="D3" s="4" t="s">
        <v>13</v>
      </c>
      <c r="E3" s="4" t="s">
        <v>14</v>
      </c>
      <c r="F3" s="4" t="s">
        <v>15</v>
      </c>
      <c r="G3" s="5" t="s">
        <v>16</v>
      </c>
      <c r="H3" s="5" t="s">
        <v>17</v>
      </c>
      <c r="I3" s="5"/>
      <c r="J3" s="10" t="str">
        <f>IF([1]Benchmark!J3=G3,"",0)</f>
        <v/>
      </c>
      <c r="K3" s="9"/>
    </row>
    <row r="4" spans="1:11" ht="82.8" customHeight="1" x14ac:dyDescent="0.25">
      <c r="A4" s="6" t="s">
        <v>19</v>
      </c>
      <c r="B4" s="4" t="s">
        <v>11</v>
      </c>
      <c r="C4" s="4" t="s">
        <v>12</v>
      </c>
      <c r="D4" s="4" t="s">
        <v>13</v>
      </c>
      <c r="E4" s="4" t="s">
        <v>14</v>
      </c>
      <c r="F4" s="4" t="s">
        <v>15</v>
      </c>
      <c r="G4" s="5" t="s">
        <v>16</v>
      </c>
      <c r="H4" s="6" t="s">
        <v>17</v>
      </c>
      <c r="I4" s="5"/>
      <c r="J4" s="10">
        <f>IF([1]Benchmark!J4=G4,"",0)</f>
        <v>0</v>
      </c>
      <c r="K4" s="9"/>
    </row>
    <row r="5" spans="1:11" ht="138" customHeight="1" x14ac:dyDescent="0.25">
      <c r="A5" s="6" t="s">
        <v>20</v>
      </c>
      <c r="B5" s="4" t="s">
        <v>21</v>
      </c>
      <c r="C5" s="4" t="s">
        <v>22</v>
      </c>
      <c r="D5" s="4" t="s">
        <v>23</v>
      </c>
      <c r="E5" s="4" t="s">
        <v>14</v>
      </c>
      <c r="F5" s="4" t="s">
        <v>15</v>
      </c>
      <c r="G5" s="6" t="s">
        <v>24</v>
      </c>
      <c r="H5" s="6" t="s">
        <v>25</v>
      </c>
      <c r="I5" s="6">
        <v>88</v>
      </c>
      <c r="J5" s="10">
        <f>IF([1]Benchmark!J5=G5,"",0)</f>
        <v>0</v>
      </c>
      <c r="K5" s="9"/>
    </row>
    <row r="6" spans="1:11" ht="262.2" customHeight="1" x14ac:dyDescent="0.25">
      <c r="A6" s="6" t="s">
        <v>26</v>
      </c>
      <c r="B6" s="4" t="s">
        <v>11</v>
      </c>
      <c r="C6" s="4" t="s">
        <v>27</v>
      </c>
      <c r="D6" s="4" t="s">
        <v>28</v>
      </c>
      <c r="E6" s="4" t="s">
        <v>29</v>
      </c>
      <c r="F6" s="4" t="s">
        <v>15</v>
      </c>
      <c r="G6" s="5" t="s">
        <v>16</v>
      </c>
      <c r="H6" s="6" t="s">
        <v>30</v>
      </c>
      <c r="I6" s="6"/>
      <c r="J6" s="10">
        <f>IF([1]Benchmark!J6=G6,"",0)</f>
        <v>0</v>
      </c>
      <c r="K6" s="9"/>
    </row>
    <row r="7" spans="1:11" ht="262.2" customHeight="1" x14ac:dyDescent="0.25">
      <c r="A7" s="6" t="s">
        <v>31</v>
      </c>
      <c r="B7" s="4" t="s">
        <v>11</v>
      </c>
      <c r="C7" s="4" t="s">
        <v>27</v>
      </c>
      <c r="D7" s="4" t="s">
        <v>28</v>
      </c>
      <c r="E7" s="4" t="s">
        <v>29</v>
      </c>
      <c r="F7" s="4" t="s">
        <v>15</v>
      </c>
      <c r="G7" s="5" t="s">
        <v>16</v>
      </c>
      <c r="H7" s="6" t="s">
        <v>32</v>
      </c>
      <c r="I7" s="6"/>
      <c r="J7" s="10">
        <f>IF([1]Benchmark!J7=G7,"",0)</f>
        <v>0</v>
      </c>
      <c r="K7" s="9"/>
    </row>
    <row r="8" spans="1:11" ht="345" customHeight="1" x14ac:dyDescent="0.25">
      <c r="A8" s="6" t="s">
        <v>33</v>
      </c>
      <c r="B8" s="4" t="s">
        <v>11</v>
      </c>
      <c r="C8" s="4" t="s">
        <v>27</v>
      </c>
      <c r="D8" s="4" t="s">
        <v>34</v>
      </c>
      <c r="E8" s="4" t="s">
        <v>29</v>
      </c>
      <c r="F8" s="4" t="s">
        <v>15</v>
      </c>
      <c r="G8" s="7" t="s">
        <v>16</v>
      </c>
      <c r="H8" s="6" t="s">
        <v>35</v>
      </c>
      <c r="I8" s="6"/>
      <c r="J8" s="10">
        <f>IF([1]Benchmark!J8=G8,"",0)</f>
        <v>0</v>
      </c>
      <c r="K8" s="9"/>
    </row>
    <row r="9" spans="1:11" ht="345" customHeight="1" x14ac:dyDescent="0.25">
      <c r="A9" s="6" t="s">
        <v>36</v>
      </c>
      <c r="B9" s="4" t="s">
        <v>11</v>
      </c>
      <c r="C9" s="4" t="s">
        <v>27</v>
      </c>
      <c r="D9" s="4" t="s">
        <v>34</v>
      </c>
      <c r="E9" s="4" t="s">
        <v>29</v>
      </c>
      <c r="F9" s="4" t="s">
        <v>15</v>
      </c>
      <c r="G9" s="7" t="s">
        <v>16</v>
      </c>
      <c r="H9" s="6" t="s">
        <v>35</v>
      </c>
      <c r="I9" s="6"/>
      <c r="J9" s="10">
        <f>IF([1]Benchmark!J9=G9,"",0)</f>
        <v>0</v>
      </c>
      <c r="K9" s="9"/>
    </row>
    <row r="10" spans="1:11" ht="220.8" customHeight="1" x14ac:dyDescent="0.25">
      <c r="A10" s="6" t="s">
        <v>37</v>
      </c>
      <c r="B10" s="4" t="s">
        <v>11</v>
      </c>
      <c r="C10" s="4" t="s">
        <v>38</v>
      </c>
      <c r="D10" s="4" t="s">
        <v>39</v>
      </c>
      <c r="E10" s="4" t="s">
        <v>29</v>
      </c>
      <c r="F10" s="4" t="s">
        <v>15</v>
      </c>
      <c r="G10" s="5" t="s">
        <v>16</v>
      </c>
      <c r="H10" s="6" t="s">
        <v>40</v>
      </c>
      <c r="I10" s="6"/>
      <c r="J10" s="10">
        <f>IF([1]Benchmark!J10=G10,"",0)</f>
        <v>0</v>
      </c>
      <c r="K10" s="9"/>
    </row>
    <row r="11" spans="1:11" ht="220.8" customHeight="1" x14ac:dyDescent="0.25">
      <c r="A11" s="6" t="s">
        <v>41</v>
      </c>
      <c r="B11" s="4" t="s">
        <v>11</v>
      </c>
      <c r="C11" s="4" t="s">
        <v>38</v>
      </c>
      <c r="D11" s="4" t="s">
        <v>42</v>
      </c>
      <c r="E11" s="4" t="s">
        <v>29</v>
      </c>
      <c r="F11" s="4" t="s">
        <v>15</v>
      </c>
      <c r="G11" s="5" t="s">
        <v>16</v>
      </c>
      <c r="H11" s="6" t="s">
        <v>43</v>
      </c>
      <c r="I11" s="6"/>
      <c r="J11" s="10">
        <f>IF([1]Benchmark!J11=G11,"",0)</f>
        <v>0</v>
      </c>
      <c r="K11" s="9"/>
    </row>
    <row r="12" spans="1:11" ht="207" customHeight="1" x14ac:dyDescent="0.25">
      <c r="A12" s="6" t="s">
        <v>44</v>
      </c>
      <c r="B12" s="4" t="s">
        <v>21</v>
      </c>
      <c r="C12" s="4" t="s">
        <v>22</v>
      </c>
      <c r="D12" s="4" t="s">
        <v>45</v>
      </c>
      <c r="E12" s="4" t="s">
        <v>46</v>
      </c>
      <c r="F12" s="4" t="s">
        <v>15</v>
      </c>
      <c r="G12" s="6" t="s">
        <v>24</v>
      </c>
      <c r="H12" s="6" t="s">
        <v>47</v>
      </c>
      <c r="I12" s="6">
        <v>24</v>
      </c>
      <c r="J12" s="10" t="str">
        <f>IF([1]Benchmark!J12=G12,"",0)</f>
        <v/>
      </c>
      <c r="K12" s="9"/>
    </row>
    <row r="13" spans="1:11" ht="124.2" customHeight="1" x14ac:dyDescent="0.25">
      <c r="A13" s="6" t="s">
        <v>48</v>
      </c>
      <c r="B13" s="4" t="s">
        <v>11</v>
      </c>
      <c r="C13" s="4" t="s">
        <v>49</v>
      </c>
      <c r="D13" s="4" t="s">
        <v>50</v>
      </c>
      <c r="E13" s="4" t="s">
        <v>51</v>
      </c>
      <c r="F13" s="4" t="s">
        <v>15</v>
      </c>
      <c r="G13" s="5" t="s">
        <v>16</v>
      </c>
      <c r="H13" s="6" t="s">
        <v>52</v>
      </c>
      <c r="I13" s="6"/>
      <c r="J13" s="10">
        <f>IF([1]Benchmark!J13=G13,"",0)</f>
        <v>0</v>
      </c>
      <c r="K13" s="9"/>
    </row>
    <row r="14" spans="1:11" ht="124.2" customHeight="1" x14ac:dyDescent="0.25">
      <c r="A14" s="6" t="s">
        <v>53</v>
      </c>
      <c r="B14" s="4" t="s">
        <v>11</v>
      </c>
      <c r="C14" s="4" t="s">
        <v>49</v>
      </c>
      <c r="D14" s="4" t="s">
        <v>50</v>
      </c>
      <c r="E14" s="4" t="s">
        <v>51</v>
      </c>
      <c r="F14" s="4" t="s">
        <v>15</v>
      </c>
      <c r="G14" s="5" t="s">
        <v>16</v>
      </c>
      <c r="H14" s="6" t="s">
        <v>52</v>
      </c>
      <c r="I14" s="6"/>
      <c r="J14" s="10" t="str">
        <f>IF([1]Benchmark!J14=G14,"",0)</f>
        <v/>
      </c>
      <c r="K14" s="9"/>
    </row>
    <row r="15" spans="1:11" ht="124.2" customHeight="1" x14ac:dyDescent="0.25">
      <c r="A15" s="6" t="s">
        <v>54</v>
      </c>
      <c r="B15" s="4" t="s">
        <v>11</v>
      </c>
      <c r="C15" s="4" t="s">
        <v>49</v>
      </c>
      <c r="D15" s="4" t="s">
        <v>50</v>
      </c>
      <c r="E15" s="4" t="s">
        <v>51</v>
      </c>
      <c r="F15" s="4" t="s">
        <v>15</v>
      </c>
      <c r="G15" s="5" t="s">
        <v>16</v>
      </c>
      <c r="H15" s="6" t="s">
        <v>55</v>
      </c>
      <c r="I15" s="6"/>
      <c r="J15" s="10">
        <f>IF([1]Benchmark!J15=G15,"",0)</f>
        <v>0</v>
      </c>
      <c r="K15" s="9"/>
    </row>
    <row r="16" spans="1:11" ht="82.8" customHeight="1" x14ac:dyDescent="0.25">
      <c r="A16" s="6" t="s">
        <v>56</v>
      </c>
      <c r="B16" s="4" t="s">
        <v>11</v>
      </c>
      <c r="C16" s="4" t="s">
        <v>57</v>
      </c>
      <c r="D16" s="4" t="s">
        <v>58</v>
      </c>
      <c r="E16" s="4" t="s">
        <v>51</v>
      </c>
      <c r="F16" s="4" t="s">
        <v>15</v>
      </c>
      <c r="G16" s="5" t="s">
        <v>16</v>
      </c>
      <c r="H16" s="6" t="s">
        <v>59</v>
      </c>
      <c r="I16" s="6"/>
      <c r="J16" s="10" t="str">
        <f>IF([1]Benchmark!J16=G16,"",0)</f>
        <v/>
      </c>
      <c r="K16" s="9"/>
    </row>
    <row r="17" spans="1:11" ht="138" customHeight="1" x14ac:dyDescent="0.25">
      <c r="A17" s="6" t="s">
        <v>60</v>
      </c>
      <c r="B17" s="4" t="s">
        <v>11</v>
      </c>
      <c r="C17" s="4" t="s">
        <v>61</v>
      </c>
      <c r="D17" s="4" t="s">
        <v>62</v>
      </c>
      <c r="E17" s="4" t="s">
        <v>51</v>
      </c>
      <c r="F17" s="4" t="s">
        <v>15</v>
      </c>
      <c r="G17" s="5" t="s">
        <v>16</v>
      </c>
      <c r="H17" s="6" t="s">
        <v>63</v>
      </c>
      <c r="I17" s="6"/>
      <c r="J17" s="10">
        <f>IF([1]Benchmark!J17=G17,"",0)</f>
        <v>0</v>
      </c>
      <c r="K17" s="9"/>
    </row>
    <row r="18" spans="1:11" ht="110.4" customHeight="1" x14ac:dyDescent="0.25">
      <c r="A18" s="6" t="s">
        <v>64</v>
      </c>
      <c r="B18" s="4" t="s">
        <v>21</v>
      </c>
      <c r="C18" s="4" t="s">
        <v>22</v>
      </c>
      <c r="D18" s="4" t="s">
        <v>65</v>
      </c>
      <c r="E18" s="4" t="s">
        <v>51</v>
      </c>
      <c r="F18" s="4" t="s">
        <v>15</v>
      </c>
      <c r="G18" s="6" t="s">
        <v>66</v>
      </c>
      <c r="H18" s="6" t="s">
        <v>67</v>
      </c>
      <c r="I18" s="6">
        <v>42</v>
      </c>
      <c r="J18" s="10" t="str">
        <f>IF([1]Benchmark!J18=G18,"",0)</f>
        <v/>
      </c>
      <c r="K18" s="9"/>
    </row>
    <row r="19" spans="1:11" ht="409.5" customHeight="1" x14ac:dyDescent="0.25">
      <c r="A19" s="6" t="s">
        <v>68</v>
      </c>
      <c r="B19" s="4" t="s">
        <v>11</v>
      </c>
      <c r="C19" s="4" t="s">
        <v>57</v>
      </c>
      <c r="D19" s="4" t="s">
        <v>69</v>
      </c>
      <c r="E19" s="4" t="s">
        <v>70</v>
      </c>
      <c r="F19" s="4" t="s">
        <v>15</v>
      </c>
      <c r="G19" s="7" t="s">
        <v>16</v>
      </c>
      <c r="H19" s="6" t="s">
        <v>35</v>
      </c>
      <c r="I19" s="6"/>
      <c r="J19" s="10" t="str">
        <f>IF([1]Benchmark!J19=G19,"",0)</f>
        <v/>
      </c>
      <c r="K19" s="9"/>
    </row>
    <row r="20" spans="1:11" ht="110.4" customHeight="1" x14ac:dyDescent="0.25">
      <c r="A20" s="6" t="s">
        <v>71</v>
      </c>
      <c r="B20" s="4" t="s">
        <v>21</v>
      </c>
      <c r="C20" s="4" t="s">
        <v>22</v>
      </c>
      <c r="D20" s="4" t="s">
        <v>72</v>
      </c>
      <c r="E20" s="4" t="s">
        <v>70</v>
      </c>
      <c r="F20" s="4" t="s">
        <v>15</v>
      </c>
      <c r="G20" s="6" t="s">
        <v>92</v>
      </c>
      <c r="H20" s="6" t="s">
        <v>73</v>
      </c>
      <c r="I20" s="6">
        <v>115</v>
      </c>
      <c r="J20" s="10">
        <f>IF([1]Benchmark!J20=G20,"",0)</f>
        <v>0</v>
      </c>
      <c r="K20" s="9"/>
    </row>
    <row r="21" spans="1:11" ht="124.2" customHeight="1" x14ac:dyDescent="0.25">
      <c r="A21" s="6" t="s">
        <v>74</v>
      </c>
      <c r="B21" s="4" t="s">
        <v>11</v>
      </c>
      <c r="C21" s="4" t="s">
        <v>75</v>
      </c>
      <c r="D21" s="4" t="s">
        <v>76</v>
      </c>
      <c r="E21" s="4" t="s">
        <v>77</v>
      </c>
      <c r="F21" s="4" t="s">
        <v>15</v>
      </c>
      <c r="G21" s="7" t="s">
        <v>16</v>
      </c>
      <c r="H21" s="6" t="s">
        <v>35</v>
      </c>
      <c r="I21" s="6"/>
      <c r="J21" s="10" t="str">
        <f>IF([1]Benchmark!J21=G21,"",0)</f>
        <v/>
      </c>
      <c r="K21" s="9"/>
    </row>
    <row r="22" spans="1:11" ht="303.60000000000002" customHeight="1" x14ac:dyDescent="0.25">
      <c r="A22" s="6" t="s">
        <v>78</v>
      </c>
      <c r="B22" s="4" t="s">
        <v>21</v>
      </c>
      <c r="C22" s="4" t="s">
        <v>22</v>
      </c>
      <c r="D22" s="4" t="s">
        <v>79</v>
      </c>
      <c r="E22" s="4" t="s">
        <v>77</v>
      </c>
      <c r="F22" s="4" t="s">
        <v>15</v>
      </c>
      <c r="G22" s="6" t="s">
        <v>66</v>
      </c>
      <c r="H22" s="6" t="s">
        <v>80</v>
      </c>
      <c r="I22" s="6">
        <v>115</v>
      </c>
      <c r="J22" s="10">
        <f>IF([1]Benchmark!J22=G22,"",0)</f>
        <v>0</v>
      </c>
      <c r="K22" s="9"/>
    </row>
    <row r="23" spans="1:11" ht="193.2" customHeight="1" x14ac:dyDescent="0.25">
      <c r="A23" s="6" t="s">
        <v>81</v>
      </c>
      <c r="B23" s="4" t="s">
        <v>11</v>
      </c>
      <c r="C23" s="4" t="s">
        <v>27</v>
      </c>
      <c r="D23" s="4" t="s">
        <v>82</v>
      </c>
      <c r="E23" s="6"/>
      <c r="F23" s="4" t="s">
        <v>83</v>
      </c>
      <c r="G23" s="7" t="s">
        <v>16</v>
      </c>
      <c r="H23" s="6" t="s">
        <v>35</v>
      </c>
      <c r="I23" s="6"/>
      <c r="J23" s="10" t="str">
        <f>IF([1]Benchmark!J23=G23,"",0)</f>
        <v/>
      </c>
      <c r="K23" s="9"/>
    </row>
    <row r="24" spans="1:11" ht="179.4" customHeight="1" x14ac:dyDescent="0.25">
      <c r="A24" s="6" t="s">
        <v>84</v>
      </c>
      <c r="B24" s="4" t="s">
        <v>11</v>
      </c>
      <c r="C24" s="4" t="s">
        <v>27</v>
      </c>
      <c r="D24" s="4" t="s">
        <v>82</v>
      </c>
      <c r="E24" s="6"/>
      <c r="F24" s="4" t="s">
        <v>83</v>
      </c>
      <c r="G24" s="4" t="s">
        <v>16</v>
      </c>
      <c r="H24" s="6" t="s">
        <v>35</v>
      </c>
      <c r="I24" s="4"/>
      <c r="J24" s="10">
        <f>IF([1]Benchmark!J24=G24,"",0)</f>
        <v>0</v>
      </c>
      <c r="K24" s="9"/>
    </row>
    <row r="25" spans="1:11" ht="96.6" customHeight="1" x14ac:dyDescent="0.25">
      <c r="A25" s="6" t="s">
        <v>85</v>
      </c>
      <c r="B25" s="4" t="s">
        <v>11</v>
      </c>
      <c r="C25" s="4" t="s">
        <v>27</v>
      </c>
      <c r="D25" s="4" t="s">
        <v>86</v>
      </c>
      <c r="E25" s="6"/>
      <c r="F25" s="4" t="s">
        <v>83</v>
      </c>
      <c r="G25" s="6" t="s">
        <v>16</v>
      </c>
      <c r="H25" s="6" t="s">
        <v>35</v>
      </c>
      <c r="I25" s="4"/>
      <c r="J25" s="10">
        <f>IF([1]Benchmark!J25=G25,"",0)</f>
        <v>0</v>
      </c>
      <c r="K25" s="9"/>
    </row>
    <row r="26" spans="1:11" ht="110.4" customHeight="1" x14ac:dyDescent="0.25">
      <c r="A26" s="6" t="s">
        <v>87</v>
      </c>
      <c r="B26" s="4" t="s">
        <v>11</v>
      </c>
      <c r="C26" s="4" t="s">
        <v>27</v>
      </c>
      <c r="D26" s="4" t="s">
        <v>86</v>
      </c>
      <c r="E26" s="6"/>
      <c r="F26" s="4" t="s">
        <v>83</v>
      </c>
      <c r="G26" s="7" t="s">
        <v>16</v>
      </c>
      <c r="H26" s="6" t="s">
        <v>35</v>
      </c>
      <c r="I26" s="4"/>
      <c r="J26" s="10">
        <f>IF([1]Benchmark!J26=G26,"",0)</f>
        <v>0</v>
      </c>
      <c r="K26" s="9"/>
    </row>
    <row r="27" spans="1:11" ht="110.4" customHeight="1" x14ac:dyDescent="0.25">
      <c r="A27" s="6" t="s">
        <v>88</v>
      </c>
      <c r="B27" s="4" t="s">
        <v>11</v>
      </c>
      <c r="C27" s="4" t="s">
        <v>27</v>
      </c>
      <c r="D27" s="4" t="s">
        <v>86</v>
      </c>
      <c r="E27" s="6"/>
      <c r="F27" s="4" t="s">
        <v>83</v>
      </c>
      <c r="G27" s="7" t="s">
        <v>16</v>
      </c>
      <c r="H27" s="6" t="s">
        <v>35</v>
      </c>
      <c r="I27" s="4"/>
      <c r="J27" s="10" t="str">
        <f>IF([1]Benchmark!J27=G27,"",0)</f>
        <v/>
      </c>
      <c r="K27" s="9"/>
    </row>
    <row r="28" spans="1:11" ht="82.8" customHeight="1" x14ac:dyDescent="0.25">
      <c r="A28" s="6" t="s">
        <v>89</v>
      </c>
      <c r="B28" s="4" t="s">
        <v>11</v>
      </c>
      <c r="C28" s="4" t="s">
        <v>27</v>
      </c>
      <c r="D28" s="4" t="s">
        <v>86</v>
      </c>
      <c r="E28" s="6"/>
      <c r="F28" s="4" t="s">
        <v>83</v>
      </c>
      <c r="G28" s="4" t="s">
        <v>16</v>
      </c>
      <c r="H28" s="6" t="s">
        <v>35</v>
      </c>
      <c r="I28" s="4"/>
      <c r="J28" s="10" t="str">
        <f>IF([1]Benchmark!J28=G28,"",0)</f>
        <v/>
      </c>
      <c r="K28" s="9"/>
    </row>
    <row r="29" spans="1:11" ht="82.8" customHeight="1" x14ac:dyDescent="0.25">
      <c r="A29" s="6" t="s">
        <v>90</v>
      </c>
      <c r="B29" s="4" t="s">
        <v>11</v>
      </c>
      <c r="C29" s="4" t="s">
        <v>27</v>
      </c>
      <c r="D29" s="4" t="s">
        <v>86</v>
      </c>
      <c r="E29" s="6"/>
      <c r="F29" s="4" t="s">
        <v>83</v>
      </c>
      <c r="G29" s="7" t="s">
        <v>16</v>
      </c>
      <c r="H29" s="6" t="s">
        <v>35</v>
      </c>
      <c r="I29" s="4"/>
      <c r="J29" s="10">
        <f>IF([1]Benchmark!J29=G29,"",0)</f>
        <v>0</v>
      </c>
      <c r="K29" s="9"/>
    </row>
    <row r="30" spans="1:11" ht="96.6" customHeight="1" x14ac:dyDescent="0.25">
      <c r="A30" s="6" t="s">
        <v>91</v>
      </c>
      <c r="B30" s="4" t="s">
        <v>11</v>
      </c>
      <c r="C30" s="4" t="s">
        <v>27</v>
      </c>
      <c r="D30" s="4" t="s">
        <v>86</v>
      </c>
      <c r="E30" s="6"/>
      <c r="F30" s="4" t="s">
        <v>83</v>
      </c>
      <c r="G30" s="7" t="s">
        <v>16</v>
      </c>
      <c r="H30" s="6" t="s">
        <v>35</v>
      </c>
      <c r="I30" s="4"/>
      <c r="J30" s="10" t="str">
        <f>IF([1]Benchmark!J30=G30,"",0)</f>
        <v/>
      </c>
      <c r="K30" s="9"/>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Commercial Banks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c:creator>
  <cp:lastModifiedBy>BW 蓝风</cp:lastModifiedBy>
  <dcterms:created xsi:type="dcterms:W3CDTF">2015-06-05T18:17:00Z</dcterms:created>
  <dcterms:modified xsi:type="dcterms:W3CDTF">2026-04-16T09:52:46Z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B313E5675AEA49C2A548346623DE73CD_12</vt:lpwstr>
  </property>
  <property fmtid="{D5CDD505-2E9C-101B-9397-08002B2CF9AE}" pid="3" name="KSOProductBuildVer">
    <vt:lpwstr>2052-12.1.0.16120</vt:lpwstr>
  </property>
</Properties>
</file>