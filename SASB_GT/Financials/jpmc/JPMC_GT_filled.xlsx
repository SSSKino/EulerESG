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575"/>
  </bookViews>
  <sheets>
    <sheet name="Commercial Banks" sheetId="1" r:id="rId1"/>
    <sheet name="Investment Banking &amp; Brokerage" sheetId="2" r:id="rId2"/>
  </sheets>
  <externalReferences>
    <externalReference r:id="rId3"/>
    <externalReference r:id="rId4"/>
  </externalReferences>
  <definedNames>
    <definedName name="_xlnm._FilterDatabase" localSheetId="0" hidden="1">'Commercial Banks'!$A$1:$J$30</definedName>
    <definedName name="_xlnm._FilterDatabase" localSheetId="1" hidden="1">'Investment Banking &amp; Brokerage'!$A$1:$J$31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<sst xmlns="http://schemas.openxmlformats.org/spreadsheetml/2006/main" count="531" uniqueCount="168">
  <si>
    <t>Metric</t>
  </si>
  <si>
    <t>Category</t>
  </si>
  <si>
    <t>Unit</t>
  </si>
  <si>
    <t>Code</t>
  </si>
  <si>
    <t>Topic</t>
  </si>
  <si>
    <t>Type</t>
  </si>
  <si>
    <t>disclosed_status</t>
  </si>
  <si>
    <t>value</t>
  </si>
  <si>
    <t>page</t>
  </si>
  <si>
    <t>qwen</t>
  </si>
  <si>
    <t>(1) Number of data breache</t>
  </si>
  <si>
    <t>Quantitative</t>
  </si>
  <si>
    <t>Number, Percentage (%)</t>
  </si>
  <si>
    <t>FN-CB-230a.1</t>
  </si>
  <si>
    <t>Data Security</t>
  </si>
  <si>
    <t>Sustainability Disclosure Topics &amp; Metrics</t>
  </si>
  <si>
    <t>not_disclosed</t>
  </si>
  <si>
    <t>not disclosed in current report</t>
  </si>
  <si>
    <t>(2) percentage that are personal data breaches</t>
  </si>
  <si>
    <t>(3) number of account holders affected</t>
  </si>
  <si>
    <t>Description of approach to identifying and addressing data security risks</t>
  </si>
  <si>
    <t>Discussion and Analysis</t>
  </si>
  <si>
    <t>n/a</t>
  </si>
  <si>
    <t>FN-CB-230a.2</t>
  </si>
  <si>
    <t>fully_disclosed</t>
  </si>
  <si>
    <t>Our firmwide Information Security Program (“ISP”) is designed to enable us to prevent, detect and respond to cyber-attacks... The Cybersecurity and Technology Controls Operating Committee (“CTOC”) oversees the Firm’s assessment and management of cybersecurity risk.</t>
  </si>
  <si>
    <t>58–59</t>
  </si>
  <si>
    <t>(1) Number of loans outstanding that qualify for programmes designed to promote small business and community development 2</t>
  </si>
  <si>
    <t>Number, Presentation currency</t>
  </si>
  <si>
    <t>FN-CB-240a.1</t>
  </si>
  <si>
    <t>Financial Inclusion &amp; Capacity Building</t>
  </si>
  <si>
    <t xml:space="preserve"> (2) amount of loans outstanding that qualify for programmes designed to promote small business and community development </t>
  </si>
  <si>
    <t>In 2024, Business Banking provided $4.5 billion in loans and lines of credit in the U.S.; CB extended approximately $32 billion in new loans, refinancing and renewals to middle market clients; the Firm extended more than $6 billion in debt and equity to help create and preserve over 45,000 affordable rental housing units.</t>
  </si>
  <si>
    <t>29, 33</t>
  </si>
  <si>
    <t>(1) Number of past due and nonaccrual loans or loans subject to forbearance that qualify for programmes designed to promote small business and community development</t>
  </si>
  <si>
    <t>FN-CB-240a.2</t>
  </si>
  <si>
    <t xml:space="preserve"> (2) amount of past due and nonaccrual loans or loans subject to forbearance that qualify for programmes designed to promote small business and community development</t>
  </si>
  <si>
    <t>Number of no-cost retail checking accounts provided to previously unbanked or underbanked customers</t>
  </si>
  <si>
    <t>Number</t>
  </si>
  <si>
    <t>FN-CB-240a.3</t>
  </si>
  <si>
    <t>Since its launch in 2019, we have opened more than 2.4 million Chase Secure BankingSM accounts... Chase Secure BankingSM accounts are low-cost, Bank On certified, have no overdraft fees.</t>
  </si>
  <si>
    <t>31</t>
  </si>
  <si>
    <t>Number of participants in financial literacy initiatives for unbanked, underbanked, or underserved customers 3</t>
  </si>
  <si>
    <t>FN-CB-240a.4</t>
  </si>
  <si>
    <t>Community center branches are designed to serve as hubs for the community, providing space for financial health workshops, skills development courses, small business pop-ups, and events hosted by local community organizations and partners.</t>
  </si>
  <si>
    <t>Description of approach to incorporation of environmental, social and governance (ESG) factors in credit analysis</t>
  </si>
  <si>
    <t>FN-CB-410a.2</t>
  </si>
  <si>
    <t>Incorporation of Environmental, Social, and Governance Factors in Credit Analysis</t>
  </si>
  <si>
    <t>Our Carbon Assessment Framework (“CAF”) aims to provide a consistent and data-driven approach to assess our clients’ emissions and decarbonization plans... For each in-scope transaction, a CAF assessment is triggered during the deal origination and forms part of the materials submitted to decision-making committees.</t>
  </si>
  <si>
    <t>16–17</t>
  </si>
  <si>
    <t>Absolute gross financed emissions, disaggregated by (1) Scope 1</t>
  </si>
  <si>
    <t>Metric tons (t) CO₂-e</t>
  </si>
  <si>
    <t>FN-CB-410b.1</t>
  </si>
  <si>
    <t>Financed Emissions</t>
  </si>
  <si>
    <t>PCAF-aligned absolute financed emissions are disclosed by sector and included scope(s), e.g., Electric Power Scope 1 1.9; Oil &amp; Gas Operational Scopes 1 and 2 0.8; Auto Manufacturing Scopes 1, 2 and 3 0.2 (million tCO2e).</t>
  </si>
  <si>
    <t>63</t>
  </si>
  <si>
    <t xml:space="preserve">Absolute gross financed emissions, disaggregated by  (2) Scope 2 </t>
  </si>
  <si>
    <t>PCAF-aligned absolute financed emissions are disclosed by sector and included scope(s), e.g., Oil &amp; Gas Operational Scopes 1 and 2 0.8; Iron &amp; Steel Scopes 1 and 2 0.6; Cement Scopes 1 and 2 0.5 (million tCO2e).</t>
  </si>
  <si>
    <t>Absolute gross financed emissions, disaggregated by (3) Scope 3</t>
  </si>
  <si>
    <t>PCAF-aligned absolute financed emissions are disclosed by sector and included scope(s), e.g., Energy Mix Scope 3 (end use) 19.3; Auto Manufacturing Scopes 1, 2 and 3 (tank-to-wheel) 0.2 (million tCO2e).</t>
  </si>
  <si>
    <t>Gross exposure for each industry by asset class</t>
  </si>
  <si>
    <t>Presentation currency</t>
  </si>
  <si>
    <t>FN-CB-410b.2</t>
  </si>
  <si>
    <t>The wholesale credit exposure heatmap includes sector exposures such as Oil &amp; Gas $31,724 million, Metals/Mining $15,860 million, and Real Estate $207,050 million.</t>
  </si>
  <si>
    <t>55</t>
  </si>
  <si>
    <t>Percentage of gross exposure included in the financed emissions calculation</t>
  </si>
  <si>
    <t>Percentage %</t>
  </si>
  <si>
    <t>FN-CB-410b.3</t>
  </si>
  <si>
    <t>The figures in the table only consider the in-scope clients per our Carbon Compass®.</t>
  </si>
  <si>
    <t>Description of the methodology used to calculate financed emissions</t>
  </si>
  <si>
    <t>FN-CB-410b.4</t>
  </si>
  <si>
    <t>We have calculated these metrics using our own methodology — refer to our Carbon Compass® for additional information... The table below summarizes main deviations of our Carbon Compass® from PCAF’s methodology.</t>
  </si>
  <si>
    <t>63–64</t>
  </si>
  <si>
    <t>Total amount of monetary losses as a result of legal proceedings associated with fraud, insider trading, antitrust, anticompetitive behaviour, market manipulation, malpractice, or other related financial industry laws or regulations 4</t>
  </si>
  <si>
    <t>FN-CB-510a.1</t>
  </si>
  <si>
    <t>Business Ethics</t>
  </si>
  <si>
    <t>Description of whistleblower policies and procedures</t>
  </si>
  <si>
    <t>FN-CB-510a.2</t>
  </si>
  <si>
    <t>Employees, directors, suppliers and customers can report known or suspected violations to our Conduct Hotline via phone, online or mobile device. The Hotline is anonymous, except in certain non-U.S. jurisdictions where anonymous reporting is prohibited.</t>
  </si>
  <si>
    <t>44</t>
  </si>
  <si>
    <t>Global Systemically Important Bank (GSIB) score, by category 5</t>
  </si>
  <si>
    <t>Basis points (bps)</t>
  </si>
  <si>
    <t>FN-CB-550a.1</t>
  </si>
  <si>
    <t>Systemic Risk Management</t>
  </si>
  <si>
    <t>Description of approach to integrate results of mandatory and voluntary stress tests into capital adequacy planning, longterm corporate strategy, and other business activities</t>
  </si>
  <si>
    <t>FN-CB-550a.2</t>
  </si>
  <si>
    <t>partially_disclosed</t>
  </si>
  <si>
    <t>We leverage an array of scenarios as part of our internal risk management processes... The Firm has built a stress framework to estimate potential impacts from a range of climate transition pathways on client financials and credit ratings.</t>
  </si>
  <si>
    <t>51, 54</t>
  </si>
  <si>
    <t>(1) Number of checking and savings accounts by segment: (a) personal and (b) small business</t>
  </si>
  <si>
    <t>FN-CB-000.A</t>
  </si>
  <si>
    <t>Activity Metrics</t>
  </si>
  <si>
    <t>We proudly serve 84.4 million consumer customers in the U.S., 7.0 million small businesses, and since 2019 have opened more than 2.4 million Chase Secure BankingSM accounts.</t>
  </si>
  <si>
    <t>3, 31</t>
  </si>
  <si>
    <t>(2) value of  checking and savings accounts by segment: (a) personal and (b) small business</t>
  </si>
  <si>
    <t>(1) Number of loans by segment: (a) personal</t>
  </si>
  <si>
    <t>FN-CB-000.B</t>
  </si>
  <si>
    <t>(1) Number of loans by segment:（b) small business</t>
  </si>
  <si>
    <t>(1) Number of loans by segment: (c) corporate6</t>
  </si>
  <si>
    <t>(2) value of loans by segment: (a) personal</t>
  </si>
  <si>
    <t>Retained residential real estate loans, predominantly in the U.S., made up $310 billion of the total consumer credit portfolio.</t>
  </si>
  <si>
    <t>53</t>
  </si>
  <si>
    <t>(2) value of loans by segment: (b) small business</t>
  </si>
  <si>
    <t>In 2024, Business Banking provided $4.5 billion in loans and lines of credit in the U.S.</t>
  </si>
  <si>
    <t>29</t>
  </si>
  <si>
    <t>(2) value of loans by segment: (c) corporate6</t>
  </si>
  <si>
    <t>As of December 31, 2024, the Firm had $1.4 trillion of wholesale credit exposure.</t>
  </si>
  <si>
    <t>54</t>
  </si>
  <si>
    <t>Percentage of (1) gender for (a) executive management</t>
  </si>
  <si>
    <t>Percentage (%)</t>
  </si>
  <si>
    <t>FN-AC-330a.1</t>
  </si>
  <si>
    <t>Employee Diversity &amp; Inclusion</t>
  </si>
  <si>
    <t>Men 69.5%; Women 30.5%</t>
  </si>
  <si>
    <t>65</t>
  </si>
  <si>
    <t>Percentage of (1) gender for (b) non-executive management</t>
  </si>
  <si>
    <t>Men 55.7%; Women 44.3%</t>
  </si>
  <si>
    <t>Percentage of (1) gender for  (c) professionals</t>
  </si>
  <si>
    <t>Men 54.0%; Women 46.0%</t>
  </si>
  <si>
    <t>Percentage of (1) gender for (d) all other employees 3</t>
  </si>
  <si>
    <t>Men 39.0%; Women 61.0%</t>
  </si>
  <si>
    <t>Percentage of (2) diversity group representation for (a) executive management</t>
  </si>
  <si>
    <t>Hispanic 6.2%; White 73.2%; Black 4.9%; Asian 14.2%; AI/AN 0.0%; NH/OPI 0.1%; Two+ 1.3%</t>
  </si>
  <si>
    <t>Percentage of (2) diversity group representation for (b) non-executive management</t>
  </si>
  <si>
    <t>Hispanic 11.6%; White 50.7%; Black 9.1%; Asian 26.3%; AI/AN 0.2%; NH/OPI 0.2%; Two+ 1.8%</t>
  </si>
  <si>
    <t>Percentage of (2) diversity group representation for (c) professionals</t>
  </si>
  <si>
    <t>Hispanic 13.6%; White 44.0%; Black 13.3%; Asian 26.1%; AI/AN 0.2%; NH/OPI 0.2%; Two+ 2.6%</t>
  </si>
  <si>
    <t>Percentage of (2) diversity group representation for (d) all other employees 3</t>
  </si>
  <si>
    <t>Hispanic 34.5%; White 35.5%; Black 16.6%; Asian 10.1%; AI/AN 0.4%; NH/OPI 0.3%; Two+ 2.6%</t>
  </si>
  <si>
    <t>(1) Number of licensed 
employees and identified decision-makers with a record of investment-related investigations, consumer-initiated complaints, private civil litigations, or other regulatory proceedings 3</t>
  </si>
  <si>
    <t>FN-IB-510b.1</t>
  </si>
  <si>
    <t>Professional Integrity</t>
  </si>
  <si>
    <t xml:space="preserve"> (2) percentage of licensed employees and identified decision-makers with a record of investment-related investigations, consumer-initiated complaints, private civil litigations, or other regulatory proceedings 3</t>
  </si>
  <si>
    <t>employees and identified decision-makers with a record of investment-related investigations, consumer-initiated complaints, private civil litigations, or other regulatory proceedings 3</t>
  </si>
  <si>
    <t>FN-IB-510b.2</t>
  </si>
  <si>
    <t>Total amount of monetary losses as a
result of legal proceedings associated with
professional integrity, including duty of
care 4</t>
  </si>
  <si>
    <t>FN-IB-510b.3</t>
  </si>
  <si>
    <t>Description of approach to ensuring professional integrity, including duty of care</t>
  </si>
  <si>
    <t>Discussion and
Analysis</t>
  </si>
  <si>
    <t>FN-IB-510b.4</t>
  </si>
  <si>
    <t>Employees are assigned conduct training shortly after their start date and periodically thereafter... Employees, directors, suppliers and customers can report known or suspected violations to our Conduct Hotline via phone, online or mobile device. Our sales employees are expected to communicate with customers in a clear, truthful and complete manner.</t>
  </si>
  <si>
    <t>44–45</t>
  </si>
  <si>
    <t>Global Systemically Important Bank (GSIB) 
score, by category 5</t>
  </si>
  <si>
    <t>FN-IB-550a.1</t>
  </si>
  <si>
    <t>FN-IB-550a.2</t>
  </si>
  <si>
    <t>Percentage of total remuneration that is 
variable for Material Risk Takers (MRTs) 6</t>
  </si>
  <si>
    <t>FN-IB-550b.1</t>
  </si>
  <si>
    <t>Employee Incentives &amp; Risk-taking</t>
  </si>
  <si>
    <t>Percentage of variable remuneration of 
Material Risk Takers (MRTs) to which malus or clawback provisions were applied 7</t>
  </si>
  <si>
    <t>FN-IB-550b.2</t>
  </si>
  <si>
    <t>Discussion of policies around supervision, 
control, and validation of traders’ pricing of Level 3 assets and liabilities</t>
  </si>
  <si>
    <t>FN-IB-550b.3</t>
  </si>
  <si>
    <t>(1) Number  of  (a) underwriting,(b) advisory</t>
  </si>
  <si>
    <t>FN-IB-000.A</t>
  </si>
  <si>
    <t>(1) Number of  (c) securitisation transactions8</t>
  </si>
  <si>
    <t>(2) value of (a) underwriting,(b) advisory</t>
  </si>
  <si>
    <t>With over $35.4 billion in green, social, sustainable and sustainability-linked bonds underwritten in 2024...</t>
  </si>
  <si>
    <t>16</t>
  </si>
  <si>
    <t>(2) value of (c) (c) securitisation transactions8</t>
  </si>
  <si>
    <t>(1) Number of proprietary 
investments and loans by sector9</t>
  </si>
  <si>
    <t>FN-IB-000.B</t>
  </si>
  <si>
    <t>(2)value of proprietary 
investments and loans by sector9</t>
  </si>
  <si>
    <t>(1) Number of market making 
transactions in (a) fixed income, (b) equity, (c) currency, (d) derivatives, and (e) commodity products</t>
  </si>
  <si>
    <t>FN-IB-000.C</t>
  </si>
  <si>
    <t xml:space="preserve"> (2) value of market making 
transactions in (a) fixed income</t>
  </si>
  <si>
    <t xml:space="preserve"> (2) value of market making 
transactions in (b) equity,</t>
  </si>
  <si>
    <t xml:space="preserve"> (2) value of market making 
transactions in  (c) currency.</t>
  </si>
  <si>
    <t xml:space="preserve"> (2) value of market making 
transactions in (d) derivatives</t>
  </si>
  <si>
    <t xml:space="preserve"> (2) value of market making 
transactions in (e) commodity products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</si>
</sst>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sz val="11"/>
      <color theme="1"/>
      <name val="等线"/>
      <charset val="134"/>
      <scheme val="minor"/>
    </font>
    <font>
      <sz val="11"/>
      <color rgb="FF3C3C3B"/>
      <name val="Arial"/>
      <charset val="134"/>
    </font>
    <font>
      <sz val="11"/>
      <color theme="1"/>
      <name val="Arial"/>
      <charset val="134"/>
    </font>
    <font>
      <sz val="11"/>
      <color rgb="FF2A2B2E"/>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2">
    <xf numFmtId="0" fontId="0" fillId="0" borderId="0" xfId="0"/>
    <xf numFmtId="0" fontId="1" fillId="0" borderId="0" xfId="0" applyFont="1" applyFill="1" applyAlignment="1"/>
    <xf numFmtId="0" fontId="2" fillId="2" borderId="0" xfId="0" applyFont="1" applyFill="1" applyAlignment="1">
      <alignment vertical="center" wrapText="1"/>
    </xf>
    <xf numFmtId="0" fontId="3" fillId="3" borderId="0" xfId="0" applyFont="1" applyFill="1" applyAlignment="1">
      <alignment vertical="center" wrapText="1"/>
    </xf>
    <xf numFmtId="0" fontId="2" fillId="0" borderId="0" xfId="0" applyFont="1" applyFill="1" applyAlignment="1">
      <alignment horizontal="center" vertical="center" wrapText="1"/>
    </xf>
    <xf numFmtId="0" fontId="3" fillId="0" borderId="0" xfId="0" applyFont="1" applyFill="1" applyAlignment="1"/>
    <xf numFmtId="0" fontId="3" fillId="0" borderId="0" xfId="0" applyFont="1" applyFill="1" applyAlignment="1">
      <alignment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xf>
    <xf numFmtId="0" fontId="3" fillId="4" borderId="0" xfId="0" applyFont="1" applyFill="1" applyAlignment="1">
      <alignment horizontal="center" vertical="center" wrapText="1"/>
    </xf>
    <xf numFmtId="0" fontId="1" fillId="0" borderId="0" xfId="0" applyFont="1" applyFill="1" applyAlignment="1">
      <alignment wrapText="1"/>
    </xf>
    <xf numFmtId="0" fontId="3"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SUS\Downloads\part3\&#12304;sasb%20&#12305;Financials\jpmc\qwen-result\Commercial%20Banks_ba7dddc0-7d6b-4b8f-acc4-4f94e02a656a_complian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SUS\Downloads\part3\&#12304;sasb%20&#12305;Financials\jpmc\qwen-result\Investment%20Banking%20&amp;%20Brokerage_ba7dddc0-7d6b-4b8f-acc4-4f94e02a656a_complianc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enchmark"/>
    </sheetNames>
    <sheetDataSet>
      <sheetData sheetId="0">
        <row r="2">
          <cell r="J2" t="str">
            <v>not_disclosed</v>
          </cell>
        </row>
        <row r="3">
          <cell r="J3" t="str">
            <v>partially_disclosed</v>
          </cell>
        </row>
        <row r="4">
          <cell r="J4" t="str">
            <v>not_disclosed</v>
          </cell>
        </row>
        <row r="5">
          <cell r="J5" t="str">
            <v>partially_disclosed</v>
          </cell>
        </row>
        <row r="6">
          <cell r="J6" t="str">
            <v>partially_disclosed</v>
          </cell>
        </row>
        <row r="7">
          <cell r="J7" t="str">
            <v>partially_disclosed</v>
          </cell>
        </row>
        <row r="8">
          <cell r="J8" t="str">
            <v>not_disclosed</v>
          </cell>
        </row>
        <row r="9">
          <cell r="J9" t="str">
            <v>not_disclosed</v>
          </cell>
        </row>
        <row r="10">
          <cell r="J10" t="str">
            <v>not_disclosed</v>
          </cell>
        </row>
        <row r="11">
          <cell r="J11" t="str">
            <v>not_disclosed</v>
          </cell>
        </row>
        <row r="12">
          <cell r="J12" t="str">
            <v>not_disclosed</v>
          </cell>
        </row>
        <row r="13">
          <cell r="J13" t="str">
            <v>partially_disclosed</v>
          </cell>
        </row>
        <row r="14">
          <cell r="J14" t="str">
            <v>partially_disclosed</v>
          </cell>
        </row>
        <row r="15">
          <cell r="J15" t="str">
            <v>partially_disclosed</v>
          </cell>
        </row>
        <row r="16">
          <cell r="J16" t="str">
            <v>not_disclosed</v>
          </cell>
        </row>
        <row r="17">
          <cell r="J17" t="str">
            <v>partially_disclosed</v>
          </cell>
        </row>
        <row r="18">
          <cell r="J18" t="str">
            <v>fully_disclosed</v>
          </cell>
        </row>
        <row r="19">
          <cell r="J19" t="str">
            <v>partially_disclosed</v>
          </cell>
        </row>
        <row r="20">
          <cell r="J20" t="str">
            <v>partially_disclosed</v>
          </cell>
        </row>
        <row r="21">
          <cell r="J21" t="str">
            <v>not_disclosed</v>
          </cell>
        </row>
        <row r="22">
          <cell r="J22" t="str">
            <v>not_disclosed</v>
          </cell>
        </row>
        <row r="23">
          <cell r="J23" t="str">
            <v>partially_disclosed</v>
          </cell>
        </row>
        <row r="24">
          <cell r="J24" t="str">
            <v>not_disclosed</v>
          </cell>
        </row>
        <row r="25">
          <cell r="J25" t="str">
            <v>not_disclosed</v>
          </cell>
        </row>
        <row r="26">
          <cell r="J26" t="str">
            <v>not_disclosed</v>
          </cell>
        </row>
        <row r="27">
          <cell r="J27" t="str">
            <v>not_disclosed</v>
          </cell>
        </row>
        <row r="28">
          <cell r="J28" t="str">
            <v>partially_disclosed</v>
          </cell>
        </row>
        <row r="29">
          <cell r="J29" t="str">
            <v>partially_disclosed</v>
          </cell>
        </row>
        <row r="30">
          <cell r="J30" t="str">
            <v>not_disclosed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enchmark"/>
    </sheetNames>
    <sheetDataSet>
      <sheetData sheetId="0">
        <row r="2">
          <cell r="J2" t="str">
            <v>partially_disclosed</v>
          </cell>
        </row>
        <row r="3">
          <cell r="J3" t="str">
            <v>not_disclosed</v>
          </cell>
        </row>
        <row r="4">
          <cell r="J4" t="str">
            <v>not_disclosed</v>
          </cell>
        </row>
        <row r="5">
          <cell r="J5" t="str">
            <v>not_disclosed</v>
          </cell>
        </row>
        <row r="6">
          <cell r="J6" t="str">
            <v>partially_disclosed</v>
          </cell>
        </row>
        <row r="7">
          <cell r="J7" t="str">
            <v>not_disclosed</v>
          </cell>
        </row>
        <row r="8">
          <cell r="J8" t="str">
            <v>partially_disclosed</v>
          </cell>
        </row>
        <row r="9">
          <cell r="J9" t="str">
            <v>partially_disclosed</v>
          </cell>
        </row>
        <row r="10">
          <cell r="J10" t="str">
            <v>not_disclosed</v>
          </cell>
        </row>
        <row r="11">
          <cell r="J11" t="str">
            <v>not_disclosed</v>
          </cell>
        </row>
        <row r="12">
          <cell r="J12" t="str">
            <v>not_disclosed</v>
          </cell>
        </row>
        <row r="13">
          <cell r="J13" t="str">
            <v>not_disclosed</v>
          </cell>
        </row>
        <row r="14">
          <cell r="J14" t="str">
            <v>not_disclosed</v>
          </cell>
        </row>
        <row r="15">
          <cell r="J15" t="str">
            <v>not_disclosed</v>
          </cell>
        </row>
        <row r="16">
          <cell r="J16" t="str">
            <v>not_disclosed</v>
          </cell>
        </row>
        <row r="17">
          <cell r="J17" t="str">
            <v>not_disclosed</v>
          </cell>
        </row>
        <row r="18">
          <cell r="J18" t="str">
            <v>not_disclosed</v>
          </cell>
        </row>
        <row r="19">
          <cell r="J19" t="str">
            <v>not_disclosed</v>
          </cell>
        </row>
        <row r="20">
          <cell r="J20" t="str">
            <v>partially_disclosed</v>
          </cell>
        </row>
        <row r="21">
          <cell r="J21" t="str">
            <v>not_disclosed</v>
          </cell>
        </row>
        <row r="22">
          <cell r="J22" t="str">
            <v>partially_disclosed</v>
          </cell>
        </row>
        <row r="23">
          <cell r="J23" t="str">
            <v>partially_disclosed</v>
          </cell>
        </row>
        <row r="24">
          <cell r="J24" t="str">
            <v>not_disclosed</v>
          </cell>
        </row>
        <row r="25">
          <cell r="J25" t="str">
            <v>not_disclosed</v>
          </cell>
        </row>
        <row r="26">
          <cell r="J26" t="str">
            <v>not_disclosed</v>
          </cell>
        </row>
        <row r="27">
          <cell r="J27" t="str">
            <v>not_disclosed</v>
          </cell>
        </row>
        <row r="28">
          <cell r="J28" t="str">
            <v>not_disclosed</v>
          </cell>
        </row>
        <row r="29">
          <cell r="J29" t="str">
            <v>not_disclosed</v>
          </cell>
        </row>
        <row r="30">
          <cell r="J30" t="str">
            <v>not_disclosed</v>
          </cell>
        </row>
        <row r="31">
          <cell r="J31" t="str">
            <v>not_disclosed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
  <sheetViews>
    <sheetView tabSelected="1" workbookViewId="0">
      <selection activeCell="G1" sqref="$A1:$XFD1048576"/>
    </sheetView>
  </sheetViews>
  <sheetFormatPr defaultColWidth="9" defaultRowHeight="13.8"/>
  <cols>
    <col min="1" max="5" width="9" style="1"/>
    <col min="6" max="6" width="39" style="1" customWidth="1"/>
    <col min="7" max="7" width="28.7777777777778" style="1" customWidth="1"/>
    <col min="8" max="16384" width="9" style="1"/>
  </cols>
  <sheetData>
    <row r="1" s="1" customFormat="1" ht="27.6" customHeight="1" spans="1:11">
      <c r="A1" s="2" t="s">
        <v>0</v>
      </c>
      <c r="B1" s="2" t="s">
        <v>1</v>
      </c>
      <c r="C1" s="2" t="s">
        <v>2</v>
      </c>
      <c r="D1" s="2" t="s">
        <v>3</v>
      </c>
      <c r="E1" s="2" t="s">
        <v>4</v>
      </c>
      <c r="F1" s="2" t="s">
        <v>5</v>
      </c>
      <c r="G1" s="3" t="s">
        <v>6</v>
      </c>
      <c r="H1" s="3" t="s">
        <v>7</v>
      </c>
      <c r="I1" s="3" t="s">
        <v>8</v>
      </c>
      <c r="J1" s="9" t="s">
        <v>9</v>
      </c>
      <c r="K1" s="10"/>
    </row>
    <row r="2" s="1" customFormat="1" ht="55.2" customHeight="1" spans="1:11">
      <c r="A2" s="4" t="s">
        <v>10</v>
      </c>
      <c r="B2" s="5" t="s">
        <v>11</v>
      </c>
      <c r="C2" s="5" t="s">
        <v>12</v>
      </c>
      <c r="D2" s="5" t="s">
        <v>13</v>
      </c>
      <c r="E2" s="5" t="s">
        <v>14</v>
      </c>
      <c r="F2" s="5" t="s">
        <v>15</v>
      </c>
      <c r="G2" s="6" t="s">
        <v>16</v>
      </c>
      <c r="H2" s="6" t="s">
        <v>17</v>
      </c>
      <c r="I2" s="6" t="s">
        <v>17</v>
      </c>
      <c r="J2" s="11" t="str">
        <f>IF([1]Benchmark!J2=G2,"",0)</f>
        <v/>
      </c>
      <c r="K2" s="10"/>
    </row>
    <row r="3" s="1" customFormat="1" ht="96.6" customHeight="1" spans="1:11">
      <c r="A3" s="4" t="s">
        <v>18</v>
      </c>
      <c r="B3" s="5" t="s">
        <v>11</v>
      </c>
      <c r="C3" s="5" t="s">
        <v>12</v>
      </c>
      <c r="D3" s="5" t="s">
        <v>13</v>
      </c>
      <c r="E3" s="5" t="s">
        <v>14</v>
      </c>
      <c r="F3" s="5" t="s">
        <v>15</v>
      </c>
      <c r="G3" s="6" t="s">
        <v>16</v>
      </c>
      <c r="H3" s="6" t="s">
        <v>17</v>
      </c>
      <c r="I3" s="6" t="s">
        <v>17</v>
      </c>
      <c r="J3" s="11">
        <f>IF([1]Benchmark!J3=G3,"",0)</f>
        <v>0</v>
      </c>
      <c r="K3" s="10"/>
    </row>
    <row r="4" s="1" customFormat="1" ht="82.8" customHeight="1" spans="1:11">
      <c r="A4" s="7" t="s">
        <v>19</v>
      </c>
      <c r="B4" s="5" t="s">
        <v>11</v>
      </c>
      <c r="C4" s="5" t="s">
        <v>12</v>
      </c>
      <c r="D4" s="5" t="s">
        <v>13</v>
      </c>
      <c r="E4" s="5" t="s">
        <v>14</v>
      </c>
      <c r="F4" s="5" t="s">
        <v>15</v>
      </c>
      <c r="G4" s="6" t="s">
        <v>16</v>
      </c>
      <c r="H4" s="7" t="s">
        <v>17</v>
      </c>
      <c r="I4" s="6" t="s">
        <v>17</v>
      </c>
      <c r="J4" s="11" t="str">
        <f>IF([1]Benchmark!J4=G4,"",0)</f>
        <v/>
      </c>
      <c r="K4" s="10"/>
    </row>
    <row r="5" s="1" customFormat="1" ht="138" customHeight="1" spans="1:11">
      <c r="A5" s="7" t="s">
        <v>20</v>
      </c>
      <c r="B5" s="5" t="s">
        <v>21</v>
      </c>
      <c r="C5" s="5" t="s">
        <v>22</v>
      </c>
      <c r="D5" s="5" t="s">
        <v>23</v>
      </c>
      <c r="E5" s="5" t="s">
        <v>14</v>
      </c>
      <c r="F5" s="5" t="s">
        <v>15</v>
      </c>
      <c r="G5" s="7" t="s">
        <v>24</v>
      </c>
      <c r="H5" s="7" t="s">
        <v>25</v>
      </c>
      <c r="I5" s="7" t="s">
        <v>26</v>
      </c>
      <c r="J5" s="11">
        <f>IF([1]Benchmark!J5=G5,"",0)</f>
        <v>0</v>
      </c>
      <c r="K5" s="10"/>
    </row>
    <row r="6" s="1" customFormat="1" ht="262.2" customHeight="1" spans="1:11">
      <c r="A6" s="7" t="s">
        <v>27</v>
      </c>
      <c r="B6" s="5" t="s">
        <v>11</v>
      </c>
      <c r="C6" s="5" t="s">
        <v>28</v>
      </c>
      <c r="D6" s="5" t="s">
        <v>29</v>
      </c>
      <c r="E6" s="5" t="s">
        <v>30</v>
      </c>
      <c r="F6" s="5" t="s">
        <v>15</v>
      </c>
      <c r="G6" s="6" t="s">
        <v>16</v>
      </c>
      <c r="H6" s="7" t="s">
        <v>17</v>
      </c>
      <c r="I6" s="7" t="s">
        <v>17</v>
      </c>
      <c r="J6" s="11">
        <f>IF([1]Benchmark!J6=G6,"",0)</f>
        <v>0</v>
      </c>
      <c r="K6" s="10"/>
    </row>
    <row r="7" s="1" customFormat="1" ht="262.2" customHeight="1" spans="1:11">
      <c r="A7" s="7" t="s">
        <v>31</v>
      </c>
      <c r="B7" s="5" t="s">
        <v>11</v>
      </c>
      <c r="C7" s="5" t="s">
        <v>28</v>
      </c>
      <c r="D7" s="5" t="s">
        <v>29</v>
      </c>
      <c r="E7" s="5" t="s">
        <v>30</v>
      </c>
      <c r="F7" s="5" t="s">
        <v>15</v>
      </c>
      <c r="G7" s="6" t="s">
        <v>16</v>
      </c>
      <c r="H7" s="7" t="s">
        <v>32</v>
      </c>
      <c r="I7" s="7" t="s">
        <v>33</v>
      </c>
      <c r="J7" s="11">
        <f>IF([1]Benchmark!J7=G7,"",0)</f>
        <v>0</v>
      </c>
      <c r="K7" s="10"/>
    </row>
    <row r="8" s="1" customFormat="1" ht="345" customHeight="1" spans="1:11">
      <c r="A8" s="7" t="s">
        <v>34</v>
      </c>
      <c r="B8" s="5" t="s">
        <v>11</v>
      </c>
      <c r="C8" s="5" t="s">
        <v>28</v>
      </c>
      <c r="D8" s="5" t="s">
        <v>35</v>
      </c>
      <c r="E8" s="5" t="s">
        <v>30</v>
      </c>
      <c r="F8" s="5" t="s">
        <v>15</v>
      </c>
      <c r="G8" s="8" t="s">
        <v>16</v>
      </c>
      <c r="H8" s="7" t="s">
        <v>17</v>
      </c>
      <c r="I8" s="7" t="s">
        <v>17</v>
      </c>
      <c r="J8" s="11" t="str">
        <f>IF([1]Benchmark!J8=G8,"",0)</f>
        <v/>
      </c>
      <c r="K8" s="10"/>
    </row>
    <row r="9" s="1" customFormat="1" ht="345" customHeight="1" spans="1:11">
      <c r="A9" s="7" t="s">
        <v>36</v>
      </c>
      <c r="B9" s="5" t="s">
        <v>11</v>
      </c>
      <c r="C9" s="5" t="s">
        <v>28</v>
      </c>
      <c r="D9" s="5" t="s">
        <v>35</v>
      </c>
      <c r="E9" s="5" t="s">
        <v>30</v>
      </c>
      <c r="F9" s="5" t="s">
        <v>15</v>
      </c>
      <c r="G9" s="8" t="s">
        <v>16</v>
      </c>
      <c r="H9" s="7" t="s">
        <v>17</v>
      </c>
      <c r="I9" s="7" t="s">
        <v>17</v>
      </c>
      <c r="J9" s="11" t="str">
        <f>IF([1]Benchmark!J9=G9,"",0)</f>
        <v/>
      </c>
      <c r="K9" s="10"/>
    </row>
    <row r="10" s="1" customFormat="1" ht="220.8" customHeight="1" spans="1:11">
      <c r="A10" s="7" t="s">
        <v>37</v>
      </c>
      <c r="B10" s="5" t="s">
        <v>11</v>
      </c>
      <c r="C10" s="5" t="s">
        <v>38</v>
      </c>
      <c r="D10" s="5" t="s">
        <v>39</v>
      </c>
      <c r="E10" s="5" t="s">
        <v>30</v>
      </c>
      <c r="F10" s="5" t="s">
        <v>15</v>
      </c>
      <c r="G10" s="6" t="s">
        <v>16</v>
      </c>
      <c r="H10" s="7" t="s">
        <v>40</v>
      </c>
      <c r="I10" s="7" t="s">
        <v>41</v>
      </c>
      <c r="J10" s="11" t="str">
        <f>IF([1]Benchmark!J10=G10,"",0)</f>
        <v/>
      </c>
      <c r="K10" s="10"/>
    </row>
    <row r="11" s="1" customFormat="1" ht="220.8" customHeight="1" spans="1:11">
      <c r="A11" s="7" t="s">
        <v>42</v>
      </c>
      <c r="B11" s="5" t="s">
        <v>11</v>
      </c>
      <c r="C11" s="5" t="s">
        <v>38</v>
      </c>
      <c r="D11" s="5" t="s">
        <v>43</v>
      </c>
      <c r="E11" s="5" t="s">
        <v>30</v>
      </c>
      <c r="F11" s="5" t="s">
        <v>15</v>
      </c>
      <c r="G11" s="6" t="s">
        <v>16</v>
      </c>
      <c r="H11" s="7" t="s">
        <v>44</v>
      </c>
      <c r="I11" s="7" t="s">
        <v>41</v>
      </c>
      <c r="J11" s="11" t="str">
        <f>IF([1]Benchmark!J11=G11,"",0)</f>
        <v/>
      </c>
      <c r="K11" s="10"/>
    </row>
    <row r="12" s="1" customFormat="1" ht="207" customHeight="1" spans="1:11">
      <c r="A12" s="7" t="s">
        <v>45</v>
      </c>
      <c r="B12" s="5" t="s">
        <v>21</v>
      </c>
      <c r="C12" s="5" t="s">
        <v>22</v>
      </c>
      <c r="D12" s="5" t="s">
        <v>46</v>
      </c>
      <c r="E12" s="5" t="s">
        <v>47</v>
      </c>
      <c r="F12" s="5" t="s">
        <v>15</v>
      </c>
      <c r="G12" s="7" t="s">
        <v>24</v>
      </c>
      <c r="H12" s="7" t="s">
        <v>48</v>
      </c>
      <c r="I12" s="7" t="s">
        <v>49</v>
      </c>
      <c r="J12" s="11">
        <f>IF([1]Benchmark!J12=G12,"",0)</f>
        <v>0</v>
      </c>
      <c r="K12" s="10"/>
    </row>
    <row r="13" s="1" customFormat="1" ht="124.2" customHeight="1" spans="1:11">
      <c r="A13" s="7" t="s">
        <v>50</v>
      </c>
      <c r="B13" s="5" t="s">
        <v>11</v>
      </c>
      <c r="C13" s="5" t="s">
        <v>51</v>
      </c>
      <c r="D13" s="5" t="s">
        <v>52</v>
      </c>
      <c r="E13" s="5" t="s">
        <v>53</v>
      </c>
      <c r="F13" s="5" t="s">
        <v>15</v>
      </c>
      <c r="G13" s="6" t="s">
        <v>16</v>
      </c>
      <c r="H13" s="7" t="s">
        <v>54</v>
      </c>
      <c r="I13" s="7" t="s">
        <v>55</v>
      </c>
      <c r="J13" s="11">
        <f>IF([1]Benchmark!J13=G13,"",0)</f>
        <v>0</v>
      </c>
      <c r="K13" s="10"/>
    </row>
    <row r="14" s="1" customFormat="1" ht="124.2" customHeight="1" spans="1:11">
      <c r="A14" s="7" t="s">
        <v>56</v>
      </c>
      <c r="B14" s="5" t="s">
        <v>11</v>
      </c>
      <c r="C14" s="5" t="s">
        <v>51</v>
      </c>
      <c r="D14" s="5" t="s">
        <v>52</v>
      </c>
      <c r="E14" s="5" t="s">
        <v>53</v>
      </c>
      <c r="F14" s="5" t="s">
        <v>15</v>
      </c>
      <c r="G14" s="6" t="s">
        <v>16</v>
      </c>
      <c r="H14" s="7" t="s">
        <v>57</v>
      </c>
      <c r="I14" s="7" t="s">
        <v>55</v>
      </c>
      <c r="J14" s="11">
        <f>IF([1]Benchmark!J14=G14,"",0)</f>
        <v>0</v>
      </c>
      <c r="K14" s="10"/>
    </row>
    <row r="15" s="1" customFormat="1" ht="124.2" customHeight="1" spans="1:11">
      <c r="A15" s="7" t="s">
        <v>58</v>
      </c>
      <c r="B15" s="5" t="s">
        <v>11</v>
      </c>
      <c r="C15" s="5" t="s">
        <v>51</v>
      </c>
      <c r="D15" s="5" t="s">
        <v>52</v>
      </c>
      <c r="E15" s="5" t="s">
        <v>53</v>
      </c>
      <c r="F15" s="5" t="s">
        <v>15</v>
      </c>
      <c r="G15" s="6" t="s">
        <v>16</v>
      </c>
      <c r="H15" s="7" t="s">
        <v>59</v>
      </c>
      <c r="I15" s="7" t="s">
        <v>55</v>
      </c>
      <c r="J15" s="11">
        <f>IF([1]Benchmark!J15=G15,"",0)</f>
        <v>0</v>
      </c>
      <c r="K15" s="10"/>
    </row>
    <row r="16" s="1" customFormat="1" ht="82.8" customHeight="1" spans="1:11">
      <c r="A16" s="7" t="s">
        <v>60</v>
      </c>
      <c r="B16" s="5" t="s">
        <v>11</v>
      </c>
      <c r="C16" s="5" t="s">
        <v>61</v>
      </c>
      <c r="D16" s="5" t="s">
        <v>62</v>
      </c>
      <c r="E16" s="5" t="s">
        <v>53</v>
      </c>
      <c r="F16" s="5" t="s">
        <v>15</v>
      </c>
      <c r="G16" s="6" t="s">
        <v>16</v>
      </c>
      <c r="H16" s="7" t="s">
        <v>63</v>
      </c>
      <c r="I16" s="7" t="s">
        <v>64</v>
      </c>
      <c r="J16" s="11" t="str">
        <f>IF([1]Benchmark!J16=G16,"",0)</f>
        <v/>
      </c>
      <c r="K16" s="10"/>
    </row>
    <row r="17" s="1" customFormat="1" ht="138" customHeight="1" spans="1:11">
      <c r="A17" s="7" t="s">
        <v>65</v>
      </c>
      <c r="B17" s="5" t="s">
        <v>11</v>
      </c>
      <c r="C17" s="5" t="s">
        <v>66</v>
      </c>
      <c r="D17" s="5" t="s">
        <v>67</v>
      </c>
      <c r="E17" s="5" t="s">
        <v>53</v>
      </c>
      <c r="F17" s="5" t="s">
        <v>15</v>
      </c>
      <c r="G17" s="6" t="s">
        <v>16</v>
      </c>
      <c r="H17" s="7" t="s">
        <v>68</v>
      </c>
      <c r="I17" s="7" t="s">
        <v>55</v>
      </c>
      <c r="J17" s="11">
        <f>IF([1]Benchmark!J17=G17,"",0)</f>
        <v>0</v>
      </c>
      <c r="K17" s="10"/>
    </row>
    <row r="18" s="1" customFormat="1" ht="110.4" customHeight="1" spans="1:11">
      <c r="A18" s="7" t="s">
        <v>69</v>
      </c>
      <c r="B18" s="5" t="s">
        <v>21</v>
      </c>
      <c r="C18" s="5" t="s">
        <v>22</v>
      </c>
      <c r="D18" s="5" t="s">
        <v>70</v>
      </c>
      <c r="E18" s="5" t="s">
        <v>53</v>
      </c>
      <c r="F18" s="5" t="s">
        <v>15</v>
      </c>
      <c r="G18" s="7" t="s">
        <v>24</v>
      </c>
      <c r="H18" s="7" t="s">
        <v>71</v>
      </c>
      <c r="I18" s="7" t="s">
        <v>72</v>
      </c>
      <c r="J18" s="11" t="str">
        <f>IF([1]Benchmark!J18=G18,"",0)</f>
        <v/>
      </c>
      <c r="K18" s="10"/>
    </row>
    <row r="19" s="1" customFormat="1" ht="409.5" customHeight="1" spans="1:11">
      <c r="A19" s="7" t="s">
        <v>73</v>
      </c>
      <c r="B19" s="5" t="s">
        <v>11</v>
      </c>
      <c r="C19" s="5" t="s">
        <v>61</v>
      </c>
      <c r="D19" s="5" t="s">
        <v>74</v>
      </c>
      <c r="E19" s="5" t="s">
        <v>75</v>
      </c>
      <c r="F19" s="5" t="s">
        <v>15</v>
      </c>
      <c r="G19" s="8" t="s">
        <v>16</v>
      </c>
      <c r="H19" s="7" t="s">
        <v>17</v>
      </c>
      <c r="I19" s="7" t="s">
        <v>17</v>
      </c>
      <c r="J19" s="11">
        <f>IF([1]Benchmark!J19=G19,"",0)</f>
        <v>0</v>
      </c>
      <c r="K19" s="10"/>
    </row>
    <row r="20" s="1" customFormat="1" ht="110.4" customHeight="1" spans="1:11">
      <c r="A20" s="7" t="s">
        <v>76</v>
      </c>
      <c r="B20" s="5" t="s">
        <v>21</v>
      </c>
      <c r="C20" s="5" t="s">
        <v>22</v>
      </c>
      <c r="D20" s="5" t="s">
        <v>77</v>
      </c>
      <c r="E20" s="5" t="s">
        <v>75</v>
      </c>
      <c r="F20" s="5" t="s">
        <v>15</v>
      </c>
      <c r="G20" s="7" t="s">
        <v>24</v>
      </c>
      <c r="H20" s="7" t="s">
        <v>78</v>
      </c>
      <c r="I20" s="7" t="s">
        <v>79</v>
      </c>
      <c r="J20" s="11">
        <f>IF([1]Benchmark!J20=G20,"",0)</f>
        <v>0</v>
      </c>
      <c r="K20" s="10"/>
    </row>
    <row r="21" s="1" customFormat="1" ht="124.2" customHeight="1" spans="1:11">
      <c r="A21" s="7" t="s">
        <v>80</v>
      </c>
      <c r="B21" s="5" t="s">
        <v>11</v>
      </c>
      <c r="C21" s="5" t="s">
        <v>81</v>
      </c>
      <c r="D21" s="5" t="s">
        <v>82</v>
      </c>
      <c r="E21" s="5" t="s">
        <v>83</v>
      </c>
      <c r="F21" s="5" t="s">
        <v>15</v>
      </c>
      <c r="G21" s="8" t="s">
        <v>16</v>
      </c>
      <c r="H21" s="7" t="s">
        <v>17</v>
      </c>
      <c r="I21" s="7" t="s">
        <v>17</v>
      </c>
      <c r="J21" s="11" t="str">
        <f>IF([1]Benchmark!J21=G21,"",0)</f>
        <v/>
      </c>
      <c r="K21" s="10"/>
    </row>
    <row r="22" s="1" customFormat="1" ht="303.6" customHeight="1" spans="1:11">
      <c r="A22" s="7" t="s">
        <v>84</v>
      </c>
      <c r="B22" s="5" t="s">
        <v>21</v>
      </c>
      <c r="C22" s="5" t="s">
        <v>22</v>
      </c>
      <c r="D22" s="5" t="s">
        <v>85</v>
      </c>
      <c r="E22" s="5" t="s">
        <v>83</v>
      </c>
      <c r="F22" s="5" t="s">
        <v>15</v>
      </c>
      <c r="G22" s="7" t="s">
        <v>86</v>
      </c>
      <c r="H22" s="7" t="s">
        <v>87</v>
      </c>
      <c r="I22" s="7" t="s">
        <v>88</v>
      </c>
      <c r="J22" s="11">
        <f>IF([1]Benchmark!J22=G22,"",0)</f>
        <v>0</v>
      </c>
      <c r="K22" s="10"/>
    </row>
    <row r="23" s="1" customFormat="1" ht="193.2" customHeight="1" spans="1:11">
      <c r="A23" s="7" t="s">
        <v>89</v>
      </c>
      <c r="B23" s="5" t="s">
        <v>11</v>
      </c>
      <c r="C23" s="5" t="s">
        <v>28</v>
      </c>
      <c r="D23" s="5" t="s">
        <v>90</v>
      </c>
      <c r="E23" s="7"/>
      <c r="F23" s="5" t="s">
        <v>91</v>
      </c>
      <c r="G23" s="8" t="s">
        <v>16</v>
      </c>
      <c r="H23" s="7" t="s">
        <v>92</v>
      </c>
      <c r="I23" s="7" t="s">
        <v>93</v>
      </c>
      <c r="J23" s="11">
        <f>IF([1]Benchmark!J23=G23,"",0)</f>
        <v>0</v>
      </c>
      <c r="K23" s="10"/>
    </row>
    <row r="24" s="1" customFormat="1" ht="179.4" customHeight="1" spans="1:11">
      <c r="A24" s="7" t="s">
        <v>94</v>
      </c>
      <c r="B24" s="5" t="s">
        <v>11</v>
      </c>
      <c r="C24" s="5" t="s">
        <v>28</v>
      </c>
      <c r="D24" s="5" t="s">
        <v>90</v>
      </c>
      <c r="E24" s="7"/>
      <c r="F24" s="5" t="s">
        <v>91</v>
      </c>
      <c r="G24" s="5" t="s">
        <v>16</v>
      </c>
      <c r="H24" s="7" t="s">
        <v>17</v>
      </c>
      <c r="I24" s="5" t="s">
        <v>17</v>
      </c>
      <c r="J24" s="11" t="str">
        <f>IF([1]Benchmark!J24=G24,"",0)</f>
        <v/>
      </c>
      <c r="K24" s="10"/>
    </row>
    <row r="25" s="1" customFormat="1" ht="96.6" customHeight="1" spans="1:11">
      <c r="A25" s="7" t="s">
        <v>95</v>
      </c>
      <c r="B25" s="5" t="s">
        <v>11</v>
      </c>
      <c r="C25" s="5" t="s">
        <v>28</v>
      </c>
      <c r="D25" s="5" t="s">
        <v>96</v>
      </c>
      <c r="E25" s="7"/>
      <c r="F25" s="5" t="s">
        <v>91</v>
      </c>
      <c r="G25" s="7" t="s">
        <v>16</v>
      </c>
      <c r="H25" s="7" t="s">
        <v>17</v>
      </c>
      <c r="I25" s="7" t="s">
        <v>17</v>
      </c>
      <c r="J25" s="11" t="str">
        <f>IF([1]Benchmark!J25=G25,"",0)</f>
        <v/>
      </c>
      <c r="K25" s="10"/>
    </row>
    <row r="26" s="1" customFormat="1" ht="110.4" customHeight="1" spans="1:11">
      <c r="A26" s="7" t="s">
        <v>97</v>
      </c>
      <c r="B26" s="5" t="s">
        <v>11</v>
      </c>
      <c r="C26" s="5" t="s">
        <v>28</v>
      </c>
      <c r="D26" s="5" t="s">
        <v>96</v>
      </c>
      <c r="E26" s="7"/>
      <c r="F26" s="5" t="s">
        <v>91</v>
      </c>
      <c r="G26" s="8" t="s">
        <v>16</v>
      </c>
      <c r="H26" s="7" t="s">
        <v>17</v>
      </c>
      <c r="I26" s="7" t="s">
        <v>17</v>
      </c>
      <c r="J26" s="11" t="str">
        <f>IF([1]Benchmark!J26=G26,"",0)</f>
        <v/>
      </c>
      <c r="K26" s="10"/>
    </row>
    <row r="27" s="1" customFormat="1" ht="110.4" customHeight="1" spans="1:11">
      <c r="A27" s="7" t="s">
        <v>98</v>
      </c>
      <c r="B27" s="5" t="s">
        <v>11</v>
      </c>
      <c r="C27" s="5" t="s">
        <v>28</v>
      </c>
      <c r="D27" s="5" t="s">
        <v>96</v>
      </c>
      <c r="E27" s="7"/>
      <c r="F27" s="5" t="s">
        <v>91</v>
      </c>
      <c r="G27" s="8" t="s">
        <v>16</v>
      </c>
      <c r="H27" s="7" t="s">
        <v>17</v>
      </c>
      <c r="I27" s="7" t="s">
        <v>17</v>
      </c>
      <c r="J27" s="11" t="str">
        <f>IF([1]Benchmark!J27=G27,"",0)</f>
        <v/>
      </c>
      <c r="K27" s="10"/>
    </row>
    <row r="28" s="1" customFormat="1" ht="82.8" customHeight="1" spans="1:11">
      <c r="A28" s="7" t="s">
        <v>99</v>
      </c>
      <c r="B28" s="5" t="s">
        <v>11</v>
      </c>
      <c r="C28" s="5" t="s">
        <v>28</v>
      </c>
      <c r="D28" s="5" t="s">
        <v>96</v>
      </c>
      <c r="E28" s="7"/>
      <c r="F28" s="5" t="s">
        <v>91</v>
      </c>
      <c r="G28" s="5" t="s">
        <v>16</v>
      </c>
      <c r="H28" s="7" t="s">
        <v>100</v>
      </c>
      <c r="I28" s="7" t="s">
        <v>101</v>
      </c>
      <c r="J28" s="11">
        <f>IF([1]Benchmark!J28=G28,"",0)</f>
        <v>0</v>
      </c>
      <c r="K28" s="10"/>
    </row>
    <row r="29" s="1" customFormat="1" ht="82.8" customHeight="1" spans="1:11">
      <c r="A29" s="7" t="s">
        <v>102</v>
      </c>
      <c r="B29" s="5" t="s">
        <v>11</v>
      </c>
      <c r="C29" s="5" t="s">
        <v>28</v>
      </c>
      <c r="D29" s="5" t="s">
        <v>96</v>
      </c>
      <c r="E29" s="7"/>
      <c r="F29" s="5" t="s">
        <v>91</v>
      </c>
      <c r="G29" s="8" t="s">
        <v>16</v>
      </c>
      <c r="H29" s="7" t="s">
        <v>103</v>
      </c>
      <c r="I29" s="7" t="s">
        <v>104</v>
      </c>
      <c r="J29" s="11">
        <f>IF([1]Benchmark!J29=G29,"",0)</f>
        <v>0</v>
      </c>
      <c r="K29" s="10"/>
    </row>
    <row r="30" s="1" customFormat="1" ht="96.6" customHeight="1" spans="1:11">
      <c r="A30" s="7" t="s">
        <v>105</v>
      </c>
      <c r="B30" s="5" t="s">
        <v>11</v>
      </c>
      <c r="C30" s="5" t="s">
        <v>28</v>
      </c>
      <c r="D30" s="5" t="s">
        <v>96</v>
      </c>
      <c r="E30" s="7"/>
      <c r="F30" s="5" t="s">
        <v>91</v>
      </c>
      <c r="G30" s="8" t="s">
        <v>16</v>
      </c>
      <c r="H30" s="7" t="s">
        <v>106</v>
      </c>
      <c r="I30" s="7" t="s">
        <v>107</v>
      </c>
      <c r="J30" s="11" t="str">
        <f>IF([1]Benchmark!J30=G30,"",0)</f>
        <v/>
      </c>
      <c r="K30" s="10"/>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workbookViewId="0">
      <selection activeCell="A1" sqref="$A1:$XFD1048576"/>
    </sheetView>
  </sheetViews>
  <sheetFormatPr defaultColWidth="9" defaultRowHeight="13.8"/>
  <cols>
    <col min="1" max="5" width="9" style="1"/>
    <col min="6" max="6" width="39" style="1" customWidth="1"/>
    <col min="7" max="7" width="28.7777777777778" style="1" customWidth="1"/>
    <col min="8" max="16384" width="9" style="1"/>
  </cols>
  <sheetData>
    <row r="1" s="1" customFormat="1" ht="27.6" customHeight="1" spans="1:11">
      <c r="A1" s="2" t="s">
        <v>0</v>
      </c>
      <c r="B1" s="2" t="s">
        <v>1</v>
      </c>
      <c r="C1" s="2" t="s">
        <v>2</v>
      </c>
      <c r="D1" s="2" t="s">
        <v>3</v>
      </c>
      <c r="E1" s="2" t="s">
        <v>4</v>
      </c>
      <c r="F1" s="2" t="s">
        <v>5</v>
      </c>
      <c r="G1" s="3" t="s">
        <v>6</v>
      </c>
      <c r="H1" s="3" t="s">
        <v>7</v>
      </c>
      <c r="I1" s="3" t="s">
        <v>8</v>
      </c>
      <c r="J1" s="9" t="s">
        <v>9</v>
      </c>
      <c r="K1" s="10"/>
    </row>
    <row r="2" s="1" customFormat="1" ht="55.2" customHeight="1" spans="1:11">
      <c r="A2" s="4" t="s">
        <v>108</v>
      </c>
      <c r="B2" s="5" t="s">
        <v>11</v>
      </c>
      <c r="C2" s="5" t="s">
        <v>109</v>
      </c>
      <c r="D2" s="5" t="s">
        <v>110</v>
      </c>
      <c r="E2" s="5" t="s">
        <v>111</v>
      </c>
      <c r="F2" s="5" t="s">
        <v>15</v>
      </c>
      <c r="G2" s="6" t="s">
        <v>24</v>
      </c>
      <c r="H2" s="6" t="s">
        <v>112</v>
      </c>
      <c r="I2" s="6" t="s">
        <v>113</v>
      </c>
      <c r="J2" s="11">
        <f>IF([2]Benchmark!J2=G2,"",0)</f>
        <v>0</v>
      </c>
      <c r="K2" s="10"/>
    </row>
    <row r="3" s="1" customFormat="1" ht="96.6" customHeight="1" spans="1:11">
      <c r="A3" s="4" t="s">
        <v>114</v>
      </c>
      <c r="B3" s="5" t="s">
        <v>11</v>
      </c>
      <c r="C3" s="5" t="s">
        <v>109</v>
      </c>
      <c r="D3" s="5" t="s">
        <v>110</v>
      </c>
      <c r="E3" s="5" t="s">
        <v>111</v>
      </c>
      <c r="F3" s="5" t="s">
        <v>15</v>
      </c>
      <c r="G3" s="6" t="s">
        <v>24</v>
      </c>
      <c r="H3" s="6" t="s">
        <v>115</v>
      </c>
      <c r="I3" s="6" t="s">
        <v>113</v>
      </c>
      <c r="J3" s="11">
        <f>IF([2]Benchmark!J3=G3,"",0)</f>
        <v>0</v>
      </c>
      <c r="K3" s="10"/>
    </row>
    <row r="4" s="1" customFormat="1" ht="82.8" customHeight="1" spans="1:11">
      <c r="A4" s="7" t="s">
        <v>116</v>
      </c>
      <c r="B4" s="5" t="s">
        <v>11</v>
      </c>
      <c r="C4" s="5" t="s">
        <v>109</v>
      </c>
      <c r="D4" s="5" t="s">
        <v>110</v>
      </c>
      <c r="E4" s="5" t="s">
        <v>111</v>
      </c>
      <c r="F4" s="5" t="s">
        <v>15</v>
      </c>
      <c r="G4" s="6" t="s">
        <v>24</v>
      </c>
      <c r="H4" s="7" t="s">
        <v>117</v>
      </c>
      <c r="I4" s="6" t="s">
        <v>113</v>
      </c>
      <c r="J4" s="11">
        <f>IF([2]Benchmark!J4=G4,"",0)</f>
        <v>0</v>
      </c>
      <c r="K4" s="10"/>
    </row>
    <row r="5" s="1" customFormat="1" ht="138" customHeight="1" spans="1:11">
      <c r="A5" s="7" t="s">
        <v>118</v>
      </c>
      <c r="B5" s="5" t="s">
        <v>11</v>
      </c>
      <c r="C5" s="5" t="s">
        <v>109</v>
      </c>
      <c r="D5" s="5" t="s">
        <v>110</v>
      </c>
      <c r="E5" s="5" t="s">
        <v>111</v>
      </c>
      <c r="F5" s="5" t="s">
        <v>15</v>
      </c>
      <c r="G5" s="7" t="s">
        <v>24</v>
      </c>
      <c r="H5" s="7" t="s">
        <v>119</v>
      </c>
      <c r="I5" s="7" t="s">
        <v>113</v>
      </c>
      <c r="J5" s="11">
        <f>IF([2]Benchmark!J5=G5,"",0)</f>
        <v>0</v>
      </c>
      <c r="K5" s="10"/>
    </row>
    <row r="6" s="1" customFormat="1" ht="262.2" customHeight="1" spans="1:11">
      <c r="A6" s="7" t="s">
        <v>120</v>
      </c>
      <c r="B6" s="5" t="s">
        <v>11</v>
      </c>
      <c r="C6" s="5" t="s">
        <v>109</v>
      </c>
      <c r="D6" s="5" t="s">
        <v>110</v>
      </c>
      <c r="E6" s="5" t="s">
        <v>111</v>
      </c>
      <c r="F6" s="5" t="s">
        <v>15</v>
      </c>
      <c r="G6" s="6" t="s">
        <v>24</v>
      </c>
      <c r="H6" s="7" t="s">
        <v>121</v>
      </c>
      <c r="I6" s="7" t="s">
        <v>113</v>
      </c>
      <c r="J6" s="11">
        <f>IF([2]Benchmark!J6=G6,"",0)</f>
        <v>0</v>
      </c>
      <c r="K6" s="10"/>
    </row>
    <row r="7" s="1" customFormat="1" ht="262.2" customHeight="1" spans="1:11">
      <c r="A7" s="7" t="s">
        <v>122</v>
      </c>
      <c r="B7" s="5" t="s">
        <v>11</v>
      </c>
      <c r="C7" s="5" t="s">
        <v>109</v>
      </c>
      <c r="D7" s="5" t="s">
        <v>110</v>
      </c>
      <c r="E7" s="5" t="s">
        <v>111</v>
      </c>
      <c r="F7" s="5" t="s">
        <v>15</v>
      </c>
      <c r="G7" s="6" t="s">
        <v>24</v>
      </c>
      <c r="H7" s="7" t="s">
        <v>123</v>
      </c>
      <c r="I7" s="7" t="s">
        <v>113</v>
      </c>
      <c r="J7" s="11">
        <f>IF([2]Benchmark!J7=G7,"",0)</f>
        <v>0</v>
      </c>
      <c r="K7" s="10"/>
    </row>
    <row r="8" s="1" customFormat="1" ht="345" customHeight="1" spans="1:11">
      <c r="A8" s="7" t="s">
        <v>124</v>
      </c>
      <c r="B8" s="5" t="s">
        <v>11</v>
      </c>
      <c r="C8" s="5" t="s">
        <v>109</v>
      </c>
      <c r="D8" s="5" t="s">
        <v>110</v>
      </c>
      <c r="E8" s="5" t="s">
        <v>111</v>
      </c>
      <c r="F8" s="5" t="s">
        <v>15</v>
      </c>
      <c r="G8" s="8" t="s">
        <v>24</v>
      </c>
      <c r="H8" s="7" t="s">
        <v>125</v>
      </c>
      <c r="I8" s="7" t="s">
        <v>113</v>
      </c>
      <c r="J8" s="11">
        <f>IF([2]Benchmark!J8=G8,"",0)</f>
        <v>0</v>
      </c>
      <c r="K8" s="10"/>
    </row>
    <row r="9" s="1" customFormat="1" ht="345" customHeight="1" spans="1:11">
      <c r="A9" s="7" t="s">
        <v>126</v>
      </c>
      <c r="B9" s="5" t="s">
        <v>11</v>
      </c>
      <c r="C9" s="5" t="s">
        <v>109</v>
      </c>
      <c r="D9" s="5" t="s">
        <v>110</v>
      </c>
      <c r="E9" s="5" t="s">
        <v>111</v>
      </c>
      <c r="F9" s="5" t="s">
        <v>15</v>
      </c>
      <c r="G9" s="8" t="s">
        <v>24</v>
      </c>
      <c r="H9" s="7" t="s">
        <v>127</v>
      </c>
      <c r="I9" s="7" t="s">
        <v>113</v>
      </c>
      <c r="J9" s="11">
        <f>IF([2]Benchmark!J9=G9,"",0)</f>
        <v>0</v>
      </c>
      <c r="K9" s="10"/>
    </row>
    <row r="10" s="1" customFormat="1" ht="220.8" customHeight="1" spans="1:11">
      <c r="A10" s="7" t="s">
        <v>128</v>
      </c>
      <c r="B10" s="5" t="s">
        <v>11</v>
      </c>
      <c r="C10" s="5" t="s">
        <v>12</v>
      </c>
      <c r="D10" s="5" t="s">
        <v>129</v>
      </c>
      <c r="E10" s="5" t="s">
        <v>130</v>
      </c>
      <c r="F10" s="5" t="s">
        <v>15</v>
      </c>
      <c r="G10" s="6" t="s">
        <v>16</v>
      </c>
      <c r="H10" s="7" t="s">
        <v>17</v>
      </c>
      <c r="I10" s="7" t="s">
        <v>17</v>
      </c>
      <c r="J10" s="11" t="str">
        <f>IF([2]Benchmark!J10=G10,"",0)</f>
        <v/>
      </c>
      <c r="K10" s="10"/>
    </row>
    <row r="11" s="1" customFormat="1" ht="220.8" customHeight="1" spans="1:11">
      <c r="A11" s="7" t="s">
        <v>131</v>
      </c>
      <c r="B11" s="5" t="s">
        <v>11</v>
      </c>
      <c r="C11" s="5" t="s">
        <v>12</v>
      </c>
      <c r="D11" s="5" t="s">
        <v>129</v>
      </c>
      <c r="E11" s="5" t="s">
        <v>130</v>
      </c>
      <c r="F11" s="5" t="s">
        <v>15</v>
      </c>
      <c r="G11" s="6" t="s">
        <v>16</v>
      </c>
      <c r="H11" s="7" t="s">
        <v>17</v>
      </c>
      <c r="I11" s="7" t="s">
        <v>17</v>
      </c>
      <c r="J11" s="11" t="str">
        <f>IF([2]Benchmark!J11=G11,"",0)</f>
        <v/>
      </c>
      <c r="K11" s="10"/>
    </row>
    <row r="12" s="1" customFormat="1" ht="207" customHeight="1" spans="1:11">
      <c r="A12" s="7" t="s">
        <v>132</v>
      </c>
      <c r="B12" s="5" t="s">
        <v>11</v>
      </c>
      <c r="C12" s="5" t="s">
        <v>38</v>
      </c>
      <c r="D12" s="5" t="s">
        <v>133</v>
      </c>
      <c r="E12" s="5" t="s">
        <v>130</v>
      </c>
      <c r="F12" s="5" t="s">
        <v>15</v>
      </c>
      <c r="G12" s="7" t="s">
        <v>16</v>
      </c>
      <c r="H12" s="7" t="s">
        <v>17</v>
      </c>
      <c r="I12" s="7" t="s">
        <v>17</v>
      </c>
      <c r="J12" s="11" t="str">
        <f>IF([2]Benchmark!J12=G12,"",0)</f>
        <v/>
      </c>
      <c r="K12" s="10"/>
    </row>
    <row r="13" s="1" customFormat="1" ht="124.2" customHeight="1" spans="1:11">
      <c r="A13" s="7" t="s">
        <v>134</v>
      </c>
      <c r="B13" s="5" t="s">
        <v>11</v>
      </c>
      <c r="C13" s="5" t="s">
        <v>61</v>
      </c>
      <c r="D13" s="5" t="s">
        <v>135</v>
      </c>
      <c r="E13" s="5" t="s">
        <v>130</v>
      </c>
      <c r="F13" s="5" t="s">
        <v>15</v>
      </c>
      <c r="G13" s="6" t="s">
        <v>16</v>
      </c>
      <c r="H13" s="7" t="s">
        <v>17</v>
      </c>
      <c r="I13" s="7" t="s">
        <v>17</v>
      </c>
      <c r="J13" s="11" t="str">
        <f>IF([2]Benchmark!J13=G13,"",0)</f>
        <v/>
      </c>
      <c r="K13" s="10"/>
    </row>
    <row r="14" s="1" customFormat="1" ht="124.2" customHeight="1" spans="1:11">
      <c r="A14" s="7" t="s">
        <v>136</v>
      </c>
      <c r="B14" s="5" t="s">
        <v>137</v>
      </c>
      <c r="C14" s="5" t="s">
        <v>22</v>
      </c>
      <c r="D14" s="5" t="s">
        <v>138</v>
      </c>
      <c r="E14" s="5" t="s">
        <v>130</v>
      </c>
      <c r="F14" s="5" t="s">
        <v>15</v>
      </c>
      <c r="G14" s="6" t="s">
        <v>24</v>
      </c>
      <c r="H14" s="7" t="s">
        <v>139</v>
      </c>
      <c r="I14" s="7" t="s">
        <v>140</v>
      </c>
      <c r="J14" s="11">
        <f>IF([2]Benchmark!J14=G14,"",0)</f>
        <v>0</v>
      </c>
      <c r="K14" s="10"/>
    </row>
    <row r="15" s="1" customFormat="1" ht="124.2" customHeight="1" spans="1:11">
      <c r="A15" s="7" t="s">
        <v>141</v>
      </c>
      <c r="B15" s="5" t="s">
        <v>11</v>
      </c>
      <c r="C15" s="5" t="s">
        <v>81</v>
      </c>
      <c r="D15" s="5" t="s">
        <v>142</v>
      </c>
      <c r="E15" s="5" t="s">
        <v>83</v>
      </c>
      <c r="F15" s="5" t="s">
        <v>15</v>
      </c>
      <c r="G15" s="6" t="s">
        <v>16</v>
      </c>
      <c r="H15" s="7" t="s">
        <v>17</v>
      </c>
      <c r="I15" s="7" t="s">
        <v>17</v>
      </c>
      <c r="J15" s="11" t="str">
        <f>IF([2]Benchmark!J15=G15,"",0)</f>
        <v/>
      </c>
      <c r="K15" s="10"/>
    </row>
    <row r="16" s="1" customFormat="1" ht="82.8" customHeight="1" spans="1:11">
      <c r="A16" s="7" t="s">
        <v>84</v>
      </c>
      <c r="B16" s="5" t="s">
        <v>21</v>
      </c>
      <c r="C16" s="5" t="s">
        <v>22</v>
      </c>
      <c r="D16" s="5" t="s">
        <v>143</v>
      </c>
      <c r="E16" s="5" t="s">
        <v>83</v>
      </c>
      <c r="F16" s="5" t="s">
        <v>15</v>
      </c>
      <c r="G16" s="6" t="s">
        <v>86</v>
      </c>
      <c r="H16" s="7" t="s">
        <v>87</v>
      </c>
      <c r="I16" s="7" t="s">
        <v>88</v>
      </c>
      <c r="J16" s="11">
        <f>IF([2]Benchmark!J16=G16,"",0)</f>
        <v>0</v>
      </c>
      <c r="K16" s="10"/>
    </row>
    <row r="17" s="1" customFormat="1" ht="138" customHeight="1" spans="1:11">
      <c r="A17" s="7" t="s">
        <v>144</v>
      </c>
      <c r="B17" s="5" t="s">
        <v>11</v>
      </c>
      <c r="C17" s="5" t="s">
        <v>109</v>
      </c>
      <c r="D17" s="5" t="s">
        <v>145</v>
      </c>
      <c r="E17" s="5" t="s">
        <v>146</v>
      </c>
      <c r="F17" s="5" t="s">
        <v>15</v>
      </c>
      <c r="G17" s="6" t="s">
        <v>16</v>
      </c>
      <c r="H17" s="7" t="s">
        <v>17</v>
      </c>
      <c r="I17" s="7" t="s">
        <v>17</v>
      </c>
      <c r="J17" s="11" t="str">
        <f>IF([2]Benchmark!J17=G17,"",0)</f>
        <v/>
      </c>
      <c r="K17" s="10"/>
    </row>
    <row r="18" s="1" customFormat="1" ht="110.4" customHeight="1" spans="1:11">
      <c r="A18" s="7" t="s">
        <v>147</v>
      </c>
      <c r="B18" s="5" t="s">
        <v>11</v>
      </c>
      <c r="C18" s="5" t="s">
        <v>109</v>
      </c>
      <c r="D18" s="5" t="s">
        <v>148</v>
      </c>
      <c r="E18" s="5" t="s">
        <v>146</v>
      </c>
      <c r="F18" s="5" t="s">
        <v>15</v>
      </c>
      <c r="G18" s="7" t="s">
        <v>16</v>
      </c>
      <c r="H18" s="7" t="s">
        <v>17</v>
      </c>
      <c r="I18" s="7" t="s">
        <v>17</v>
      </c>
      <c r="J18" s="11" t="str">
        <f>IF([2]Benchmark!J18=G18,"",0)</f>
        <v/>
      </c>
      <c r="K18" s="10"/>
    </row>
    <row r="19" s="1" customFormat="1" ht="409.5" customHeight="1" spans="1:11">
      <c r="A19" s="7" t="s">
        <v>149</v>
      </c>
      <c r="B19" s="5" t="s">
        <v>21</v>
      </c>
      <c r="C19" s="5" t="s">
        <v>22</v>
      </c>
      <c r="D19" s="5" t="s">
        <v>150</v>
      </c>
      <c r="E19" s="5" t="s">
        <v>146</v>
      </c>
      <c r="F19" s="5" t="s">
        <v>15</v>
      </c>
      <c r="G19" s="8" t="s">
        <v>16</v>
      </c>
      <c r="H19" s="7" t="s">
        <v>17</v>
      </c>
      <c r="I19" s="7" t="s">
        <v>17</v>
      </c>
      <c r="J19" s="11" t="str">
        <f>IF([2]Benchmark!J19=G19,"",0)</f>
        <v/>
      </c>
      <c r="K19" s="10"/>
    </row>
    <row r="20" s="1" customFormat="1" ht="110.4" customHeight="1" spans="1:11">
      <c r="A20" s="7" t="s">
        <v>151</v>
      </c>
      <c r="B20" s="5" t="s">
        <v>11</v>
      </c>
      <c r="C20" s="5" t="s">
        <v>28</v>
      </c>
      <c r="D20" s="5" t="s">
        <v>152</v>
      </c>
      <c r="E20" s="5"/>
      <c r="F20" s="5" t="s">
        <v>91</v>
      </c>
      <c r="G20" s="7" t="s">
        <v>16</v>
      </c>
      <c r="H20" s="7" t="s">
        <v>17</v>
      </c>
      <c r="I20" s="7" t="s">
        <v>17</v>
      </c>
      <c r="J20" s="11">
        <f>IF([2]Benchmark!J20=G20,"",0)</f>
        <v>0</v>
      </c>
      <c r="K20" s="10"/>
    </row>
    <row r="21" s="1" customFormat="1" ht="124.2" customHeight="1" spans="1:11">
      <c r="A21" s="7" t="s">
        <v>153</v>
      </c>
      <c r="B21" s="5" t="s">
        <v>11</v>
      </c>
      <c r="C21" s="5" t="s">
        <v>28</v>
      </c>
      <c r="D21" s="5" t="s">
        <v>152</v>
      </c>
      <c r="E21" s="5"/>
      <c r="F21" s="5" t="s">
        <v>91</v>
      </c>
      <c r="G21" s="8" t="s">
        <v>16</v>
      </c>
      <c r="H21" s="7" t="s">
        <v>17</v>
      </c>
      <c r="I21" s="7" t="s">
        <v>17</v>
      </c>
      <c r="J21" s="11" t="str">
        <f>IF([2]Benchmark!J21=G21,"",0)</f>
        <v/>
      </c>
      <c r="K21" s="10"/>
    </row>
    <row r="22" s="1" customFormat="1" ht="303.6" customHeight="1" spans="1:11">
      <c r="A22" s="7" t="s">
        <v>154</v>
      </c>
      <c r="B22" s="5" t="s">
        <v>11</v>
      </c>
      <c r="C22" s="5" t="s">
        <v>28</v>
      </c>
      <c r="D22" s="5" t="s">
        <v>152</v>
      </c>
      <c r="E22" s="5"/>
      <c r="F22" s="5" t="s">
        <v>91</v>
      </c>
      <c r="G22" s="7" t="s">
        <v>16</v>
      </c>
      <c r="H22" s="7" t="s">
        <v>155</v>
      </c>
      <c r="I22" s="7" t="s">
        <v>156</v>
      </c>
      <c r="J22" s="11">
        <f>IF([2]Benchmark!J22=G22,"",0)</f>
        <v>0</v>
      </c>
      <c r="K22" s="10"/>
    </row>
    <row r="23" s="1" customFormat="1" ht="193.2" customHeight="1" spans="1:11">
      <c r="A23" s="7" t="s">
        <v>157</v>
      </c>
      <c r="B23" s="5" t="s">
        <v>11</v>
      </c>
      <c r="C23" s="5" t="s">
        <v>28</v>
      </c>
      <c r="D23" s="5" t="s">
        <v>152</v>
      </c>
      <c r="E23" s="7"/>
      <c r="F23" s="5" t="s">
        <v>91</v>
      </c>
      <c r="G23" s="8" t="s">
        <v>16</v>
      </c>
      <c r="H23" s="7" t="s">
        <v>17</v>
      </c>
      <c r="I23" s="7" t="s">
        <v>17</v>
      </c>
      <c r="J23" s="11">
        <f>IF([2]Benchmark!J23=G23,"",0)</f>
        <v>0</v>
      </c>
      <c r="K23" s="10"/>
    </row>
    <row r="24" s="1" customFormat="1" ht="179.4" customHeight="1" spans="1:11">
      <c r="A24" s="7" t="s">
        <v>158</v>
      </c>
      <c r="B24" s="5" t="s">
        <v>11</v>
      </c>
      <c r="C24" s="5" t="s">
        <v>28</v>
      </c>
      <c r="D24" s="5" t="s">
        <v>159</v>
      </c>
      <c r="E24" s="7"/>
      <c r="F24" s="5" t="s">
        <v>91</v>
      </c>
      <c r="G24" s="5" t="s">
        <v>16</v>
      </c>
      <c r="H24" s="7" t="s">
        <v>17</v>
      </c>
      <c r="I24" s="5" t="s">
        <v>17</v>
      </c>
      <c r="J24" s="11" t="str">
        <f>IF([2]Benchmark!J24=G24,"",0)</f>
        <v/>
      </c>
      <c r="K24" s="10"/>
    </row>
    <row r="25" s="1" customFormat="1" ht="96.6" customHeight="1" spans="1:11">
      <c r="A25" s="7" t="s">
        <v>160</v>
      </c>
      <c r="B25" s="5" t="s">
        <v>11</v>
      </c>
      <c r="C25" s="5" t="s">
        <v>28</v>
      </c>
      <c r="D25" s="5" t="s">
        <v>159</v>
      </c>
      <c r="E25" s="7"/>
      <c r="F25" s="5" t="s">
        <v>91</v>
      </c>
      <c r="G25" s="7" t="s">
        <v>16</v>
      </c>
      <c r="H25" s="7" t="s">
        <v>17</v>
      </c>
      <c r="I25" s="7" t="s">
        <v>17</v>
      </c>
      <c r="J25" s="11" t="str">
        <f>IF([2]Benchmark!J25=G25,"",0)</f>
        <v/>
      </c>
      <c r="K25" s="10"/>
    </row>
    <row r="26" s="1" customFormat="1" ht="110.4" customHeight="1" spans="1:11">
      <c r="A26" s="7" t="s">
        <v>161</v>
      </c>
      <c r="B26" s="5" t="s">
        <v>11</v>
      </c>
      <c r="C26" s="5" t="s">
        <v>28</v>
      </c>
      <c r="D26" s="5" t="s">
        <v>162</v>
      </c>
      <c r="E26" s="7"/>
      <c r="F26" s="5" t="s">
        <v>91</v>
      </c>
      <c r="G26" s="8" t="s">
        <v>16</v>
      </c>
      <c r="H26" s="7" t="s">
        <v>17</v>
      </c>
      <c r="I26" s="7" t="s">
        <v>17</v>
      </c>
      <c r="J26" s="11" t="str">
        <f>IF([2]Benchmark!J26=G26,"",0)</f>
        <v/>
      </c>
      <c r="K26" s="10"/>
    </row>
    <row r="27" s="1" customFormat="1" ht="110.4" customHeight="1" spans="1:11">
      <c r="A27" s="7" t="s">
        <v>163</v>
      </c>
      <c r="B27" s="5" t="s">
        <v>11</v>
      </c>
      <c r="C27" s="5" t="s">
        <v>28</v>
      </c>
      <c r="D27" s="5" t="s">
        <v>162</v>
      </c>
      <c r="E27" s="7"/>
      <c r="F27" s="5" t="s">
        <v>91</v>
      </c>
      <c r="G27" s="8" t="s">
        <v>16</v>
      </c>
      <c r="H27" s="7" t="s">
        <v>17</v>
      </c>
      <c r="I27" s="7" t="s">
        <v>17</v>
      </c>
      <c r="J27" s="11" t="str">
        <f>IF([2]Benchmark!J27=G27,"",0)</f>
        <v/>
      </c>
      <c r="K27" s="10"/>
    </row>
    <row r="28" s="1" customFormat="1" ht="82.8" customHeight="1" spans="1:11">
      <c r="A28" s="7" t="s">
        <v>164</v>
      </c>
      <c r="B28" s="5" t="s">
        <v>11</v>
      </c>
      <c r="C28" s="5" t="s">
        <v>28</v>
      </c>
      <c r="D28" s="5" t="s">
        <v>162</v>
      </c>
      <c r="E28" s="7"/>
      <c r="F28" s="5" t="s">
        <v>91</v>
      </c>
      <c r="G28" s="5" t="s">
        <v>16</v>
      </c>
      <c r="H28" s="7" t="s">
        <v>17</v>
      </c>
      <c r="I28" s="7" t="s">
        <v>17</v>
      </c>
      <c r="J28" s="11" t="str">
        <f>IF([2]Benchmark!J28=G28,"",0)</f>
        <v/>
      </c>
      <c r="K28" s="10"/>
    </row>
    <row r="29" s="1" customFormat="1" ht="82.8" customHeight="1" spans="1:11">
      <c r="A29" s="7" t="s">
        <v>165</v>
      </c>
      <c r="B29" s="5" t="s">
        <v>11</v>
      </c>
      <c r="C29" s="5" t="s">
        <v>28</v>
      </c>
      <c r="D29" s="5" t="s">
        <v>162</v>
      </c>
      <c r="E29" s="7"/>
      <c r="F29" s="5" t="s">
        <v>91</v>
      </c>
      <c r="G29" s="8" t="s">
        <v>16</v>
      </c>
      <c r="H29" s="7" t="s">
        <v>17</v>
      </c>
      <c r="I29" s="7" t="s">
        <v>17</v>
      </c>
      <c r="J29" s="11" t="str">
        <f>IF([2]Benchmark!J29=G29,"",0)</f>
        <v/>
      </c>
      <c r="K29" s="10"/>
    </row>
    <row r="30" s="1" customFormat="1" ht="96.6" customHeight="1" spans="1:11">
      <c r="A30" s="7" t="s">
        <v>166</v>
      </c>
      <c r="B30" s="5" t="s">
        <v>11</v>
      </c>
      <c r="C30" s="5" t="s">
        <v>28</v>
      </c>
      <c r="D30" s="5" t="s">
        <v>162</v>
      </c>
      <c r="E30" s="7"/>
      <c r="F30" s="5" t="s">
        <v>91</v>
      </c>
      <c r="G30" s="8" t="s">
        <v>16</v>
      </c>
      <c r="H30" s="7" t="s">
        <v>17</v>
      </c>
      <c r="I30" s="7" t="s">
        <v>17</v>
      </c>
      <c r="J30" s="11" t="str">
        <f>IF([2]Benchmark!J30=G30,"",0)</f>
        <v/>
      </c>
      <c r="K30" s="10"/>
    </row>
    <row r="31" spans="1:10">
      <c r="A31" s="1" t="s">
        <v>167</v>
      </c>
      <c r="B31" s="1" t="s">
        <v>11</v>
      </c>
      <c r="C31" s="1" t="s">
        <v>28</v>
      </c>
      <c r="D31" s="1" t="s">
        <v>162</v>
      </c>
      <c r="F31" s="1" t="s">
        <v>91</v>
      </c>
      <c r="G31" s="1" t="s">
        <v>16</v>
      </c>
      <c r="H31" s="1" t="s">
        <v>17</v>
      </c>
      <c r="I31" s="1" t="s">
        <v>17</v>
      </c>
      <c r="J31" s="1" t="str">
        <f>IF([2]Benchmark!J31=G31,"",0)</f>
        <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Commercial Banks</vt:lpstr>
      <vt:lpstr>Investment Banking &amp; Brokerage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c:creator>
  <cp:lastModifiedBy>lL</cp:lastModifiedBy>
  <dcterms:created xsi:type="dcterms:W3CDTF">2015-06-05T18:17:00Z</dcterms:created>
  <dcterms:modified xsi:type="dcterms:W3CDTF">2026-03-30T13:59:40Z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A88BB2D4A0F64BDEB9B6386BA4963EFA_12</vt:lpwstr>
  </property>
  <property fmtid="{D5CDD505-2E9C-101B-9397-08002B2CF9AE}" pid="3" name="KSOProductBuildVer">
    <vt:lpwstr>2052-12.1.0.16120</vt:lpwstr>
  </property>
</Properties>
</file>