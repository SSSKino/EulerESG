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LingjingLan\0.ESG\week12\GT\Transportation\Maersk\"/>
    </mc:Choice>
  </mc:AlternateContent>
  <xr:revisionPtr revIDLastSave="0" documentId="13_ncr:1_{33823279-0832-4F1C-855A-3FB6B2C40268}" xr6:coauthVersionLast="47" xr6:coauthVersionMax="47" xr10:uidLastSave="{00000000-0000-0000-0000-000000000000}"/>
  <bookViews>
    <workbookView xWindow="4512" yWindow="3408" windowWidth="17628" windowHeight="12408" firstSheet="1" activeTab="1" xr2:uid="{00000000-000D-0000-FFFF-FFFF00000000}"/>
  </bookViews>
  <sheets>
    <sheet name="Air Freight &amp; Logistics" sheetId="1" r:id="rId1"/>
    <sheet name="Marine Transportation" sheetId="2" r:id="rId2"/>
    <sheet name="Rail Transportation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" i="3" l="1"/>
  <c r="K26" i="1"/>
</calcChain>
</file>

<file path=xl/sharedStrings.xml><?xml version="1.0" encoding="utf-8"?>
<sst xmlns="http://schemas.openxmlformats.org/spreadsheetml/2006/main" count="534" uniqueCount="177">
  <si>
    <t>Metric</t>
  </si>
  <si>
    <t>Category</t>
  </si>
  <si>
    <t>Unit</t>
  </si>
  <si>
    <t>Code</t>
  </si>
  <si>
    <t>Topic</t>
  </si>
  <si>
    <t>Type</t>
  </si>
  <si>
    <t>Gross global Scope 1 emissions</t>
  </si>
  <si>
    <t>Quantitative</t>
  </si>
  <si>
    <t>Metric tonnes (t) CO₂-e</t>
  </si>
  <si>
    <t>TR-AF-110a.1</t>
  </si>
  <si>
    <t>Greenhouse Gas Emissions</t>
  </si>
  <si>
    <t>Sustainability Disclosure Topics &amp; Metrics</t>
  </si>
  <si>
    <t>Discussion of long- and short-term strategy or plan to manage Scope 1 emissions, emissions reduction targets, and an analysis of performance against those targets</t>
  </si>
  <si>
    <t>Discussion and
Analysis</t>
    <phoneticPr fontId="1" type="noConversion"/>
  </si>
  <si>
    <t>n/a</t>
  </si>
  <si>
    <t>TR-AF-110a.2</t>
  </si>
  <si>
    <t>Fuel consumed by (1) road transport, percentage (a) natural gas</t>
  </si>
  <si>
    <t>Quantitative</t>
    <phoneticPr fontId="1" type="noConversion"/>
  </si>
  <si>
    <t>Gigajoules (GJ), Percentage (%)</t>
  </si>
  <si>
    <t>TR-AF-110a.3</t>
  </si>
  <si>
    <t>Fuel consumed by (1) road transport, percentage (b) renewable</t>
    <phoneticPr fontId="1" type="noConversion"/>
  </si>
  <si>
    <t>Fuel consumed by (2) air transport, percentage (a) alternative</t>
    <phoneticPr fontId="1" type="noConversion"/>
  </si>
  <si>
    <t>Fuel consumed by (2) air transport, percentage(b) sustainable</t>
    <phoneticPr fontId="1" type="noConversion"/>
  </si>
  <si>
    <t>Air emissions of the following pollutants: (1) NOx (excluding N2O)</t>
  </si>
  <si>
    <t>Metric tonnes (t)</t>
  </si>
  <si>
    <t>TR-AF-120a.1</t>
  </si>
  <si>
    <t>Air Quality</t>
  </si>
  <si>
    <t>Air emissions of the following pollutants: (2) SOx</t>
    <phoneticPr fontId="1" type="noConversion"/>
  </si>
  <si>
    <t>Air emissions of the following pollutants: (3) particulate matter (PM10)</t>
    <phoneticPr fontId="1" type="noConversion"/>
  </si>
  <si>
    <t>Percentage of drivers classified as independent contractors</t>
  </si>
  <si>
    <t>Percentage (%)</t>
  </si>
  <si>
    <t>TR-AF-310a.1</t>
  </si>
  <si>
    <t>Labour Practices</t>
  </si>
  <si>
    <t>Total amount of monetary losses as a result of legal proceedings associated with labour law violations 1</t>
  </si>
  <si>
    <t>Presentation currency</t>
  </si>
  <si>
    <t>TR-AF-310a.2</t>
  </si>
  <si>
    <t>(1) Total recordable incident rate (TRIR)</t>
  </si>
  <si>
    <t>Rate</t>
  </si>
  <si>
    <t>TR-AF-320a.1</t>
  </si>
  <si>
    <t>Workforce Health &amp; Safety</t>
  </si>
  <si>
    <t>(2) fatality rate for (a) direct employees</t>
  </si>
  <si>
    <t>(2) fatality rate for (b) contract employees</t>
    <phoneticPr fontId="1" type="noConversion"/>
  </si>
  <si>
    <t>Total greenhouse gas (GHG) footprint across transport modes</t>
  </si>
  <si>
    <t>Metric tonnes (t) CO₂-e per tonnekilometre</t>
  </si>
  <si>
    <t>TR-AF-430a.2</t>
  </si>
  <si>
    <t>Supply Chain Management</t>
  </si>
  <si>
    <t>Discussion of policies and strategies to identify, assess and manage business disruption risks associated with contract carrier safety</t>
  </si>
  <si>
    <t>Discussion and Analysis</t>
  </si>
  <si>
    <t>TR-AF-430a.3</t>
  </si>
  <si>
    <t>Description of implementation and outcomes of a Safety Management System</t>
  </si>
  <si>
    <t>TR-AF-540a.1</t>
  </si>
  <si>
    <t>Accident &amp; Safety Management</t>
  </si>
  <si>
    <t>Number of aviation accidents</t>
  </si>
  <si>
    <t>Number</t>
  </si>
  <si>
    <t>TR-AF-540a.2</t>
  </si>
  <si>
    <t>Number of road accidents and incidents</t>
  </si>
  <si>
    <t>TR-AF-540a.3</t>
  </si>
  <si>
    <t>Revenue tonne-kilometres (RTK) for: (1) road transport</t>
  </si>
  <si>
    <t>RTK</t>
  </si>
  <si>
    <t>TR-AF-000.A</t>
  </si>
  <si>
    <t>Activity Metrics</t>
  </si>
  <si>
    <t>Revenue tonne-kilometres (RTK) for: (2) air transport2</t>
    <phoneticPr fontId="1" type="noConversion"/>
  </si>
  <si>
    <t>Load factor for: (1) road transport</t>
  </si>
  <si>
    <t>TR-AF-000.B</t>
  </si>
  <si>
    <t xml:space="preserve">Load factor for: (2) air transport3 </t>
    <phoneticPr fontId="1" type="noConversion"/>
  </si>
  <si>
    <t>Number of employees, number of truck drivers</t>
  </si>
  <si>
    <t>TR-AF-000.C</t>
  </si>
  <si>
    <t>TR-MT-110a.1</t>
  </si>
  <si>
    <t>TR-MT-110a.2</t>
  </si>
  <si>
    <t>(1) Total energy consumed</t>
  </si>
  <si>
    <t>Gigajoules
(GJ)</t>
    <phoneticPr fontId="1" type="noConversion"/>
  </si>
  <si>
    <t>TR-MT-110a.3</t>
  </si>
  <si>
    <t>(2) percentage heavy fuel oil</t>
  </si>
  <si>
    <t>(3) percentage renewable</t>
  </si>
  <si>
    <t>Average Energy Efficiency Design Index (EEDI) for new ships</t>
  </si>
  <si>
    <t>Grammes of CO₂ per tonnautical mile</t>
  </si>
  <si>
    <t>TR-MT-110a.4</t>
  </si>
  <si>
    <t>Air emissions of the following pollutants: (1) NOx (excluding N2O)</t>
    <phoneticPr fontId="1" type="noConversion"/>
  </si>
  <si>
    <t>TR-MT-120a.1</t>
  </si>
  <si>
    <t>Air emissions of the following pollutants: (2)Sox</t>
    <phoneticPr fontId="1" type="noConversion"/>
  </si>
  <si>
    <t>Air emissions of the following pollutants:(3) particulate matter (PM10)</t>
    <phoneticPr fontId="1" type="noConversion"/>
  </si>
  <si>
    <t>Shipping duration in marine protected areas or areas of protected conservation status</t>
  </si>
  <si>
    <t>Number of travel days</t>
  </si>
  <si>
    <t>TR-MT-160a.1</t>
  </si>
  <si>
    <t>Ecological Impacts</t>
  </si>
  <si>
    <t>Percentage of fleet implementing ballast water (1) exchange</t>
  </si>
  <si>
    <t>TR-MT-160a.2</t>
  </si>
  <si>
    <t xml:space="preserve">Percentage of fleet implementing ballast water (2) treatment </t>
    <phoneticPr fontId="1" type="noConversion"/>
  </si>
  <si>
    <t xml:space="preserve">(1) Number of
spills and releases to the environment </t>
    <phoneticPr fontId="1" type="noConversion"/>
  </si>
  <si>
    <t>TR-MT-160a.3</t>
  </si>
  <si>
    <t xml:space="preserve">(2) aggregate volume of
spills and releases to the environment </t>
    <phoneticPr fontId="1" type="noConversion"/>
  </si>
  <si>
    <t>Cubic metres (m³)</t>
  </si>
  <si>
    <t>Lost time incident rate (LTIR)</t>
  </si>
  <si>
    <t>TR-MT-320a.1</t>
  </si>
  <si>
    <t>Number of calls at ports in countries that have the 20 lowest rankings in Transparency International’s Corruption Perception Index</t>
  </si>
  <si>
    <t>TR-MT-510a.2</t>
  </si>
  <si>
    <t>Business Ethics</t>
  </si>
  <si>
    <t>Total amount of monetary losses as a result of legal proceedings associated with bribery or corruption 1</t>
  </si>
  <si>
    <t>(1) Number of marine casualties</t>
  </si>
  <si>
    <t>TR-MT-540a.1</t>
  </si>
  <si>
    <t>(2) percentage classified as very serious</t>
  </si>
  <si>
    <t>Number of Conditions of Class or Recommendations</t>
  </si>
  <si>
    <t>TR-MT-540a.2</t>
  </si>
  <si>
    <t>Number of port state control (1) deficiencies</t>
  </si>
  <si>
    <t>TR-MT-540a.3</t>
  </si>
  <si>
    <t>Number of port state control (2) detentions</t>
    <phoneticPr fontId="1" type="noConversion"/>
  </si>
  <si>
    <t>Number of shipboard employees3</t>
  </si>
  <si>
    <t>Quantitative Nu</t>
  </si>
  <si>
    <t>TR-MT-000.A</t>
  </si>
  <si>
    <t>Total distance travelled by vessels</t>
  </si>
  <si>
    <t>Nautical miles (nm)</t>
  </si>
  <si>
    <t>TR-MT-000.B</t>
  </si>
  <si>
    <t>Operating days</t>
  </si>
  <si>
    <t>Days</t>
  </si>
  <si>
    <t>TR-MT-000.C</t>
  </si>
  <si>
    <t>Deadweight tonnage</t>
  </si>
  <si>
    <t>Thousand deadweight tonnes</t>
  </si>
  <si>
    <t>TR-MT-000.D</t>
  </si>
  <si>
    <t>Number of vessels in total shipping fleet</t>
  </si>
  <si>
    <t>TR-MT-000.E</t>
  </si>
  <si>
    <t>Number of vessel port calls</t>
  </si>
  <si>
    <t>TR-MT-000.F</t>
  </si>
  <si>
    <t>Twenty-foot equivalent unit (TEU) capacity</t>
  </si>
  <si>
    <t>TEU</t>
  </si>
  <si>
    <t>TR-MT-000.G</t>
  </si>
  <si>
    <t>TR-RA-110a.1</t>
  </si>
  <si>
    <t>TR-RA-110a.2</t>
  </si>
  <si>
    <t>Total fuel consumed</t>
    <phoneticPr fontId="1" type="noConversion"/>
  </si>
  <si>
    <t>Gigajoules (GJ)</t>
  </si>
  <si>
    <t>TR-RA-110a.3</t>
  </si>
  <si>
    <t>percentage renewable</t>
    <phoneticPr fontId="1" type="noConversion"/>
  </si>
  <si>
    <t>TR-RA-120a.1</t>
  </si>
  <si>
    <t>Air emissions of the following pollutants: (2) particulate matter (PM10)</t>
    <phoneticPr fontId="1" type="noConversion"/>
  </si>
  <si>
    <t>TR-RA-320a.1</t>
  </si>
  <si>
    <t>(2) fatality rate</t>
  </si>
  <si>
    <t>(3) near miss frequency rate (NMFR) for (a) direct employees</t>
    <phoneticPr fontId="1" type="noConversion"/>
  </si>
  <si>
    <t>(3) near miss frequency rate (NMFR) for (b) contract employees</t>
    <phoneticPr fontId="1" type="noConversion"/>
  </si>
  <si>
    <t>Total amount of monetary losses as a result of legal proceedings associated with anti-competitive behaviour regulations 1</t>
  </si>
  <si>
    <t>TR-RA-520a.1</t>
  </si>
  <si>
    <t>Competitive Behaviour</t>
  </si>
  <si>
    <t>Number of accidents and incidents</t>
  </si>
  <si>
    <t>TR-RA-540a.1</t>
  </si>
  <si>
    <t>Number of (1) accident releases</t>
  </si>
  <si>
    <t>TR-RA-540a.2</t>
  </si>
  <si>
    <t xml:space="preserve">Number of (2) non-accident releases (NARs) </t>
    <phoneticPr fontId="1" type="noConversion"/>
  </si>
  <si>
    <t>Number of rail safety standard defects cited by relevant authorities that may result in fines or other penalties by jurisdiction</t>
  </si>
  <si>
    <t>TR-RA-540a.3</t>
  </si>
  <si>
    <t>Frequency of internal railway integrity inspections</t>
  </si>
  <si>
    <t>TR-RA-540a.4</t>
  </si>
  <si>
    <t>Number of carloads transported4</t>
  </si>
  <si>
    <t>TR-RA-000.A</t>
  </si>
  <si>
    <t>Number of intermodal units transported5</t>
  </si>
  <si>
    <t>Number</t>
    <phoneticPr fontId="1" type="noConversion"/>
  </si>
  <si>
    <t>TR-RA-000.B</t>
  </si>
  <si>
    <t>Track kilometres6</t>
  </si>
  <si>
    <t>Kilometres</t>
  </si>
  <si>
    <t>TR-RA-000.C</t>
  </si>
  <si>
    <t>Revenue tonne-kilometres (RTK)7</t>
  </si>
  <si>
    <t>TR-RA-000.D</t>
  </si>
  <si>
    <t>Number of employees</t>
  </si>
  <si>
    <t>TR-RA-000.E</t>
  </si>
  <si>
    <t>disclosure_status</t>
  </si>
  <si>
    <t>value</t>
  </si>
  <si>
    <t>page</t>
  </si>
  <si>
    <t>comment</t>
  </si>
  <si>
    <t>qwen</t>
  </si>
  <si>
    <t>fully_disclosed</t>
  </si>
  <si>
    <t>not_disclosed</t>
  </si>
  <si>
    <t>partially_disclosed</t>
  </si>
  <si>
    <t>2% total green energy</t>
    <phoneticPr fontId="1" type="noConversion"/>
  </si>
  <si>
    <t>totally disclosed</t>
    <phoneticPr fontId="1" type="noConversion"/>
  </si>
  <si>
    <t>In 2023, however, we tragically lost four colleagues in fatal accidents</t>
  </si>
  <si>
    <t>In 2024, however, we tragically lost four colleagues in fatal accidents</t>
  </si>
  <si>
    <t>percentage renewable</t>
  </si>
  <si>
    <t>not_disclosed</t>
    <phoneticPr fontId="1" type="noConversion"/>
  </si>
  <si>
    <t>4(m FFE)</t>
    <phoneticPr fontId="1" type="noConversion"/>
  </si>
  <si>
    <t>fully_disclosed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</si>
</sst>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CE9178"/>
      <name val="Consolas"/>
      <family val="3"/>
    </font>
    <font>
      <sz val="8"/>
      <color rgb="FF9CDCFE"/>
      <name val="Consolas"/>
      <family val="3"/>
    </font>
    <font>
      <sz val="8"/>
      <color rgb="FFEFB08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vertical="center"/>
    </xf>
    <xf numFmtId="3" fontId="0" fillId="0" borderId="0" xfId="0" applyNumberFormat="1"/>
    <xf numFmtId="9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opLeftCell="B1" workbookViewId="0">
      <selection activeCell="G9" sqref="G9:K11"/>
    </sheetView>
  </sheetViews>
  <sheetFormatPr defaultRowHeight="13.8" x14ac:dyDescent="0.25"/>
  <cols>
    <col min="1" max="1" width="22.5546875" customWidth="1"/>
    <col min="3" max="3" width="7.5546875" customWidth="1"/>
    <col min="6" max="6" width="39.6640625" customWidth="1"/>
    <col min="7" max="7" width="16.6640625" bestFit="1" customWidth="1"/>
    <col min="9" max="9" width="15.3320312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161</v>
      </c>
      <c r="H1" s="4" t="s">
        <v>162</v>
      </c>
      <c r="I1" s="4" t="s">
        <v>163</v>
      </c>
      <c r="J1" s="4" t="s">
        <v>164</v>
      </c>
      <c r="K1" s="5" t="s">
        <v>165</v>
      </c>
    </row>
    <row r="2" spans="1:11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6" t="s">
        <v>166</v>
      </c>
      <c r="H2" s="7">
        <v>79462</v>
      </c>
      <c r="I2">
        <v>20</v>
      </c>
      <c r="K2">
        <v>0</v>
      </c>
    </row>
    <row r="3" spans="1:11" ht="41.4" x14ac:dyDescent="0.25">
      <c r="A3" t="s">
        <v>12</v>
      </c>
      <c r="B3" s="3" t="s">
        <v>13</v>
      </c>
      <c r="C3" t="s">
        <v>14</v>
      </c>
      <c r="D3" t="s">
        <v>15</v>
      </c>
      <c r="E3" t="s">
        <v>10</v>
      </c>
      <c r="F3" t="s">
        <v>11</v>
      </c>
      <c r="G3" s="6" t="s">
        <v>166</v>
      </c>
      <c r="I3">
        <v>9</v>
      </c>
    </row>
    <row r="4" spans="1:11" x14ac:dyDescent="0.25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11</v>
      </c>
      <c r="G4" s="6" t="s">
        <v>167</v>
      </c>
    </row>
    <row r="5" spans="1:11" x14ac:dyDescent="0.25">
      <c r="A5" t="s">
        <v>20</v>
      </c>
      <c r="B5" t="s">
        <v>17</v>
      </c>
      <c r="C5" t="s">
        <v>18</v>
      </c>
      <c r="D5" t="s">
        <v>19</v>
      </c>
      <c r="E5" t="s">
        <v>10</v>
      </c>
      <c r="F5" t="s">
        <v>11</v>
      </c>
      <c r="G5" s="6" t="s">
        <v>167</v>
      </c>
    </row>
    <row r="6" spans="1:11" ht="41.4" x14ac:dyDescent="0.25">
      <c r="A6" s="3" t="s">
        <v>21</v>
      </c>
      <c r="B6" t="s">
        <v>17</v>
      </c>
      <c r="C6" t="s">
        <v>18</v>
      </c>
      <c r="D6" t="s">
        <v>19</v>
      </c>
      <c r="E6" t="s">
        <v>10</v>
      </c>
      <c r="F6" t="s">
        <v>11</v>
      </c>
      <c r="G6" s="6" t="s">
        <v>168</v>
      </c>
      <c r="I6">
        <v>48</v>
      </c>
      <c r="J6" t="s">
        <v>169</v>
      </c>
    </row>
    <row r="7" spans="1:11" x14ac:dyDescent="0.25">
      <c r="A7" t="s">
        <v>22</v>
      </c>
      <c r="B7" t="s">
        <v>17</v>
      </c>
      <c r="C7" t="s">
        <v>18</v>
      </c>
      <c r="D7" t="s">
        <v>19</v>
      </c>
      <c r="E7" t="s">
        <v>10</v>
      </c>
      <c r="F7" t="s">
        <v>11</v>
      </c>
      <c r="G7" s="6" t="s">
        <v>168</v>
      </c>
      <c r="I7">
        <v>24</v>
      </c>
    </row>
    <row r="8" spans="1:11" x14ac:dyDescent="0.25">
      <c r="A8" t="s">
        <v>23</v>
      </c>
      <c r="B8" t="s">
        <v>7</v>
      </c>
      <c r="C8" t="s">
        <v>24</v>
      </c>
      <c r="D8" t="s">
        <v>25</v>
      </c>
      <c r="E8" t="s">
        <v>26</v>
      </c>
      <c r="F8" t="s">
        <v>11</v>
      </c>
      <c r="G8" s="6" t="s">
        <v>168</v>
      </c>
      <c r="I8">
        <v>25</v>
      </c>
    </row>
    <row r="9" spans="1:11" x14ac:dyDescent="0.25">
      <c r="A9" t="s">
        <v>27</v>
      </c>
      <c r="B9" t="s">
        <v>7</v>
      </c>
      <c r="C9" t="s">
        <v>24</v>
      </c>
      <c r="D9" t="s">
        <v>25</v>
      </c>
      <c r="E9" t="s">
        <v>26</v>
      </c>
      <c r="F9" t="s">
        <v>11</v>
      </c>
      <c r="G9" s="6" t="s">
        <v>170</v>
      </c>
      <c r="H9">
        <v>672</v>
      </c>
      <c r="I9">
        <v>29</v>
      </c>
      <c r="K9">
        <v>0</v>
      </c>
    </row>
    <row r="10" spans="1:11" x14ac:dyDescent="0.25">
      <c r="A10" t="s">
        <v>28</v>
      </c>
      <c r="B10" t="s">
        <v>7</v>
      </c>
      <c r="C10" t="s">
        <v>24</v>
      </c>
      <c r="D10" t="s">
        <v>25</v>
      </c>
      <c r="E10" t="s">
        <v>26</v>
      </c>
      <c r="F10" t="s">
        <v>11</v>
      </c>
      <c r="G10" s="6" t="s">
        <v>170</v>
      </c>
      <c r="H10">
        <v>90</v>
      </c>
      <c r="I10">
        <v>29</v>
      </c>
      <c r="K10">
        <v>0</v>
      </c>
    </row>
    <row r="11" spans="1:11" x14ac:dyDescent="0.25">
      <c r="A11" t="s">
        <v>29</v>
      </c>
      <c r="B11" t="s">
        <v>7</v>
      </c>
      <c r="C11" t="s">
        <v>30</v>
      </c>
      <c r="D11" t="s">
        <v>31</v>
      </c>
      <c r="E11" t="s">
        <v>32</v>
      </c>
      <c r="F11" t="s">
        <v>11</v>
      </c>
      <c r="G11" s="6" t="s">
        <v>170</v>
      </c>
      <c r="H11">
        <v>49</v>
      </c>
      <c r="I11">
        <v>29</v>
      </c>
      <c r="K11">
        <v>0</v>
      </c>
    </row>
    <row r="12" spans="1:11" x14ac:dyDescent="0.25">
      <c r="A12" t="s">
        <v>33</v>
      </c>
      <c r="B12" t="s">
        <v>7</v>
      </c>
      <c r="C12" t="s">
        <v>34</v>
      </c>
      <c r="D12" t="s">
        <v>35</v>
      </c>
      <c r="E12" t="s">
        <v>32</v>
      </c>
      <c r="F12" t="s">
        <v>11</v>
      </c>
      <c r="G12" s="6" t="s">
        <v>167</v>
      </c>
    </row>
    <row r="13" spans="1:11" x14ac:dyDescent="0.25">
      <c r="A13" t="s">
        <v>36</v>
      </c>
      <c r="B13" t="s">
        <v>7</v>
      </c>
      <c r="C13" t="s">
        <v>37</v>
      </c>
      <c r="D13" t="s">
        <v>38</v>
      </c>
      <c r="E13" t="s">
        <v>39</v>
      </c>
      <c r="F13" t="s">
        <v>11</v>
      </c>
      <c r="G13" s="6" t="s">
        <v>167</v>
      </c>
    </row>
    <row r="14" spans="1:11" x14ac:dyDescent="0.25">
      <c r="A14" t="s">
        <v>40</v>
      </c>
      <c r="B14" t="s">
        <v>7</v>
      </c>
      <c r="C14" t="s">
        <v>37</v>
      </c>
      <c r="D14" t="s">
        <v>38</v>
      </c>
      <c r="E14" t="s">
        <v>39</v>
      </c>
      <c r="F14" t="s">
        <v>11</v>
      </c>
      <c r="G14" s="6" t="s">
        <v>167</v>
      </c>
    </row>
    <row r="15" spans="1:11" x14ac:dyDescent="0.25">
      <c r="A15" t="s">
        <v>41</v>
      </c>
      <c r="B15" t="s">
        <v>7</v>
      </c>
      <c r="C15" t="s">
        <v>37</v>
      </c>
      <c r="D15" t="s">
        <v>38</v>
      </c>
      <c r="E15" t="s">
        <v>39</v>
      </c>
      <c r="F15" t="s">
        <v>11</v>
      </c>
      <c r="G15" s="6" t="s">
        <v>168</v>
      </c>
      <c r="I15">
        <v>4</v>
      </c>
      <c r="J15" s="6" t="s">
        <v>171</v>
      </c>
    </row>
    <row r="16" spans="1:11" x14ac:dyDescent="0.25">
      <c r="A16" t="s">
        <v>42</v>
      </c>
      <c r="B16" t="s">
        <v>7</v>
      </c>
      <c r="C16" t="s">
        <v>43</v>
      </c>
      <c r="D16" t="s">
        <v>44</v>
      </c>
      <c r="E16" t="s">
        <v>45</v>
      </c>
      <c r="F16" t="s">
        <v>11</v>
      </c>
      <c r="G16" s="6" t="s">
        <v>168</v>
      </c>
      <c r="I16">
        <v>5</v>
      </c>
      <c r="J16" s="6" t="s">
        <v>172</v>
      </c>
    </row>
    <row r="17" spans="1:11" x14ac:dyDescent="0.25">
      <c r="A17" t="s">
        <v>46</v>
      </c>
      <c r="B17" t="s">
        <v>47</v>
      </c>
      <c r="C17" t="s">
        <v>14</v>
      </c>
      <c r="D17" t="s">
        <v>48</v>
      </c>
      <c r="E17" t="s">
        <v>45</v>
      </c>
      <c r="F17" t="s">
        <v>11</v>
      </c>
      <c r="G17" s="6" t="s">
        <v>168</v>
      </c>
      <c r="I17">
        <v>9</v>
      </c>
    </row>
    <row r="18" spans="1:11" x14ac:dyDescent="0.25">
      <c r="A18" t="s">
        <v>49</v>
      </c>
      <c r="B18" t="s">
        <v>47</v>
      </c>
      <c r="C18" t="s">
        <v>14</v>
      </c>
      <c r="D18" t="s">
        <v>50</v>
      </c>
      <c r="E18" t="s">
        <v>51</v>
      </c>
      <c r="F18" t="s">
        <v>11</v>
      </c>
      <c r="G18" s="6" t="s">
        <v>167</v>
      </c>
    </row>
    <row r="19" spans="1:11" x14ac:dyDescent="0.25">
      <c r="A19" t="s">
        <v>52</v>
      </c>
      <c r="B19" t="s">
        <v>7</v>
      </c>
      <c r="C19" t="s">
        <v>53</v>
      </c>
      <c r="D19" t="s">
        <v>54</v>
      </c>
      <c r="E19" t="s">
        <v>51</v>
      </c>
      <c r="F19" t="s">
        <v>11</v>
      </c>
      <c r="G19" s="6" t="s">
        <v>166</v>
      </c>
      <c r="I19">
        <v>34</v>
      </c>
    </row>
    <row r="20" spans="1:11" x14ac:dyDescent="0.25">
      <c r="A20" t="s">
        <v>55</v>
      </c>
      <c r="B20" t="s">
        <v>7</v>
      </c>
      <c r="C20" t="s">
        <v>53</v>
      </c>
      <c r="D20" t="s">
        <v>56</v>
      </c>
      <c r="E20" t="s">
        <v>51</v>
      </c>
      <c r="F20" t="s">
        <v>11</v>
      </c>
      <c r="G20" s="6" t="s">
        <v>167</v>
      </c>
    </row>
    <row r="21" spans="1:11" x14ac:dyDescent="0.25">
      <c r="A21" t="s">
        <v>57</v>
      </c>
      <c r="B21" t="s">
        <v>7</v>
      </c>
      <c r="C21" t="s">
        <v>58</v>
      </c>
      <c r="D21" t="s">
        <v>59</v>
      </c>
      <c r="F21" t="s">
        <v>60</v>
      </c>
      <c r="G21" s="6" t="s">
        <v>168</v>
      </c>
    </row>
    <row r="22" spans="1:11" x14ac:dyDescent="0.25">
      <c r="A22" t="s">
        <v>61</v>
      </c>
      <c r="B22" t="s">
        <v>7</v>
      </c>
      <c r="C22" t="s">
        <v>58</v>
      </c>
      <c r="D22" t="s">
        <v>59</v>
      </c>
      <c r="F22" t="s">
        <v>60</v>
      </c>
      <c r="G22" s="6" t="s">
        <v>167</v>
      </c>
    </row>
    <row r="23" spans="1:11" x14ac:dyDescent="0.25">
      <c r="A23" t="s">
        <v>62</v>
      </c>
      <c r="B23" t="s">
        <v>7</v>
      </c>
      <c r="C23" t="s">
        <v>37</v>
      </c>
      <c r="D23" t="s">
        <v>63</v>
      </c>
      <c r="F23" t="s">
        <v>60</v>
      </c>
      <c r="G23" s="6" t="s">
        <v>167</v>
      </c>
    </row>
    <row r="24" spans="1:11" x14ac:dyDescent="0.25">
      <c r="A24" t="s">
        <v>64</v>
      </c>
      <c r="B24" t="s">
        <v>7</v>
      </c>
      <c r="C24" t="s">
        <v>37</v>
      </c>
      <c r="D24" t="s">
        <v>63</v>
      </c>
      <c r="F24" t="s">
        <v>60</v>
      </c>
      <c r="G24" s="6" t="s">
        <v>167</v>
      </c>
    </row>
    <row r="25" spans="1:11" x14ac:dyDescent="0.25">
      <c r="A25" t="s">
        <v>65</v>
      </c>
      <c r="B25" t="s">
        <v>7</v>
      </c>
      <c r="C25" t="s">
        <v>53</v>
      </c>
      <c r="D25" t="s">
        <v>66</v>
      </c>
      <c r="F25" t="s">
        <v>60</v>
      </c>
      <c r="G25" s="6" t="s">
        <v>168</v>
      </c>
    </row>
    <row r="26" spans="1:11" x14ac:dyDescent="0.25">
      <c r="K26">
        <f>20/24</f>
        <v>0.83333333333333337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46293-641E-4AE5-8D5D-E115E92E9A87}">
  <dimension ref="A1:K30"/>
  <sheetViews>
    <sheetView tabSelected="1" topLeftCell="D10" workbookViewId="0">
      <selection activeCell="L22" sqref="L22"/>
    </sheetView>
  </sheetViews>
  <sheetFormatPr defaultRowHeight="13.8" x14ac:dyDescent="0.25"/>
  <cols>
    <col min="1" max="1" width="153.88671875" bestFit="1" customWidth="1"/>
    <col min="3" max="3" width="35.88671875" bestFit="1" customWidth="1"/>
    <col min="5" max="5" width="30.33203125" bestFit="1" customWidth="1"/>
    <col min="6" max="6" width="39" bestFit="1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161</v>
      </c>
      <c r="H1" s="4" t="s">
        <v>162</v>
      </c>
      <c r="I1" s="4" t="s">
        <v>163</v>
      </c>
      <c r="J1" s="4" t="s">
        <v>164</v>
      </c>
      <c r="K1" s="5" t="s">
        <v>165</v>
      </c>
    </row>
    <row r="2" spans="1:11" x14ac:dyDescent="0.25">
      <c r="A2" t="s">
        <v>6</v>
      </c>
      <c r="B2" t="s">
        <v>7</v>
      </c>
      <c r="C2" t="s">
        <v>8</v>
      </c>
      <c r="D2" t="s">
        <v>67</v>
      </c>
      <c r="E2" t="s">
        <v>10</v>
      </c>
      <c r="F2" t="s">
        <v>11</v>
      </c>
      <c r="G2" s="6" t="s">
        <v>167</v>
      </c>
      <c r="H2" s="7"/>
    </row>
    <row r="3" spans="1:11" x14ac:dyDescent="0.25">
      <c r="A3" t="s">
        <v>12</v>
      </c>
      <c r="B3" t="s">
        <v>47</v>
      </c>
      <c r="C3" t="s">
        <v>14</v>
      </c>
      <c r="D3" t="s">
        <v>68</v>
      </c>
      <c r="E3" t="s">
        <v>10</v>
      </c>
      <c r="F3" t="s">
        <v>11</v>
      </c>
      <c r="G3" s="6" t="s">
        <v>168</v>
      </c>
      <c r="I3">
        <v>2</v>
      </c>
    </row>
    <row r="4" spans="1:11" ht="41.4" x14ac:dyDescent="0.25">
      <c r="A4" t="s">
        <v>69</v>
      </c>
      <c r="B4" t="s">
        <v>7</v>
      </c>
      <c r="C4" s="3" t="s">
        <v>70</v>
      </c>
      <c r="D4" t="s">
        <v>71</v>
      </c>
      <c r="E4" t="s">
        <v>10</v>
      </c>
      <c r="F4" t="s">
        <v>11</v>
      </c>
      <c r="G4" s="6" t="s">
        <v>166</v>
      </c>
      <c r="H4" s="7">
        <v>116526</v>
      </c>
      <c r="I4">
        <v>48</v>
      </c>
      <c r="K4">
        <v>0</v>
      </c>
    </row>
    <row r="5" spans="1:11" x14ac:dyDescent="0.25">
      <c r="A5" t="s">
        <v>72</v>
      </c>
      <c r="B5" t="s">
        <v>7</v>
      </c>
      <c r="C5" t="s">
        <v>30</v>
      </c>
      <c r="D5" t="s">
        <v>71</v>
      </c>
      <c r="E5" t="s">
        <v>10</v>
      </c>
      <c r="F5" t="s">
        <v>11</v>
      </c>
      <c r="G5" s="6" t="s">
        <v>167</v>
      </c>
    </row>
    <row r="6" spans="1:11" x14ac:dyDescent="0.25">
      <c r="A6" t="s">
        <v>73</v>
      </c>
      <c r="B6" t="s">
        <v>7</v>
      </c>
      <c r="C6" t="s">
        <v>30</v>
      </c>
      <c r="D6" t="s">
        <v>71</v>
      </c>
      <c r="E6" t="s">
        <v>10</v>
      </c>
      <c r="F6" t="s">
        <v>11</v>
      </c>
      <c r="G6" s="6" t="s">
        <v>166</v>
      </c>
      <c r="H6" s="8">
        <v>0.02</v>
      </c>
      <c r="I6">
        <v>48</v>
      </c>
      <c r="K6">
        <v>0</v>
      </c>
    </row>
    <row r="7" spans="1:11" x14ac:dyDescent="0.25">
      <c r="A7" t="s">
        <v>74</v>
      </c>
      <c r="B7" t="s">
        <v>7</v>
      </c>
      <c r="C7" t="s">
        <v>75</v>
      </c>
      <c r="D7" t="s">
        <v>76</v>
      </c>
      <c r="E7" t="s">
        <v>10</v>
      </c>
      <c r="F7" t="s">
        <v>11</v>
      </c>
      <c r="G7" s="10" t="s">
        <v>167</v>
      </c>
    </row>
    <row r="8" spans="1:11" x14ac:dyDescent="0.25">
      <c r="A8" s="3" t="s">
        <v>77</v>
      </c>
      <c r="B8" t="s">
        <v>7</v>
      </c>
      <c r="C8" t="s">
        <v>24</v>
      </c>
      <c r="D8" t="s">
        <v>78</v>
      </c>
      <c r="E8" t="s">
        <v>26</v>
      </c>
      <c r="F8" t="s">
        <v>11</v>
      </c>
      <c r="G8" s="6" t="s">
        <v>170</v>
      </c>
      <c r="H8">
        <v>672000</v>
      </c>
      <c r="I8">
        <v>29</v>
      </c>
      <c r="K8">
        <v>0</v>
      </c>
    </row>
    <row r="9" spans="1:11" x14ac:dyDescent="0.25">
      <c r="A9" t="s">
        <v>79</v>
      </c>
      <c r="B9" t="s">
        <v>7</v>
      </c>
      <c r="C9" t="s">
        <v>24</v>
      </c>
      <c r="D9" t="s">
        <v>78</v>
      </c>
      <c r="E9" t="s">
        <v>26</v>
      </c>
      <c r="F9" t="s">
        <v>11</v>
      </c>
      <c r="G9" s="10" t="s">
        <v>166</v>
      </c>
      <c r="H9" s="10">
        <v>90000</v>
      </c>
      <c r="I9">
        <v>29</v>
      </c>
    </row>
    <row r="10" spans="1:11" x14ac:dyDescent="0.25">
      <c r="A10" t="s">
        <v>80</v>
      </c>
      <c r="B10" t="s">
        <v>7</v>
      </c>
      <c r="C10" t="s">
        <v>24</v>
      </c>
      <c r="D10" t="s">
        <v>78</v>
      </c>
      <c r="E10" t="s">
        <v>26</v>
      </c>
      <c r="F10" t="s">
        <v>11</v>
      </c>
      <c r="G10" s="6" t="s">
        <v>170</v>
      </c>
      <c r="H10">
        <v>49000</v>
      </c>
      <c r="I10">
        <v>29</v>
      </c>
      <c r="K10">
        <v>0</v>
      </c>
    </row>
    <row r="11" spans="1:11" x14ac:dyDescent="0.25">
      <c r="A11" t="s">
        <v>81</v>
      </c>
      <c r="B11" t="s">
        <v>7</v>
      </c>
      <c r="C11" t="s">
        <v>82</v>
      </c>
      <c r="D11" t="s">
        <v>83</v>
      </c>
      <c r="E11" t="s">
        <v>84</v>
      </c>
      <c r="F11" t="s">
        <v>11</v>
      </c>
      <c r="G11" s="10" t="s">
        <v>167</v>
      </c>
      <c r="I11">
        <v>29</v>
      </c>
    </row>
    <row r="12" spans="1:11" x14ac:dyDescent="0.25">
      <c r="A12" t="s">
        <v>85</v>
      </c>
      <c r="C12" t="s">
        <v>30</v>
      </c>
      <c r="D12" t="s">
        <v>86</v>
      </c>
      <c r="E12" t="s">
        <v>84</v>
      </c>
      <c r="F12" t="s">
        <v>11</v>
      </c>
      <c r="G12" s="10" t="s">
        <v>167</v>
      </c>
      <c r="I12">
        <v>29</v>
      </c>
    </row>
    <row r="13" spans="1:11" x14ac:dyDescent="0.25">
      <c r="A13" t="s">
        <v>87</v>
      </c>
      <c r="C13" t="s">
        <v>30</v>
      </c>
      <c r="D13" t="s">
        <v>86</v>
      </c>
      <c r="E13" t="s">
        <v>84</v>
      </c>
      <c r="F13" t="s">
        <v>11</v>
      </c>
      <c r="G13" s="6" t="s">
        <v>176</v>
      </c>
      <c r="H13">
        <v>93</v>
      </c>
      <c r="I13">
        <v>29</v>
      </c>
    </row>
    <row r="14" spans="1:11" ht="27.6" x14ac:dyDescent="0.25">
      <c r="A14" s="3" t="s">
        <v>88</v>
      </c>
      <c r="C14" t="s">
        <v>53</v>
      </c>
      <c r="D14" t="s">
        <v>89</v>
      </c>
      <c r="E14" t="s">
        <v>84</v>
      </c>
      <c r="F14" t="s">
        <v>11</v>
      </c>
      <c r="G14" s="10" t="s">
        <v>167</v>
      </c>
    </row>
    <row r="15" spans="1:11" ht="27.6" x14ac:dyDescent="0.25">
      <c r="A15" s="3" t="s">
        <v>90</v>
      </c>
      <c r="C15" t="s">
        <v>91</v>
      </c>
      <c r="D15" t="s">
        <v>89</v>
      </c>
      <c r="E15" t="s">
        <v>84</v>
      </c>
      <c r="F15" t="s">
        <v>11</v>
      </c>
      <c r="G15" s="10" t="s">
        <v>167</v>
      </c>
      <c r="I15">
        <v>14</v>
      </c>
    </row>
    <row r="16" spans="1:11" x14ac:dyDescent="0.25">
      <c r="A16" t="s">
        <v>92</v>
      </c>
      <c r="B16" t="s">
        <v>7</v>
      </c>
      <c r="C16" t="s">
        <v>37</v>
      </c>
      <c r="D16" t="s">
        <v>93</v>
      </c>
      <c r="E16" t="s">
        <v>39</v>
      </c>
      <c r="F16" t="s">
        <v>11</v>
      </c>
      <c r="G16" s="6" t="s">
        <v>166</v>
      </c>
      <c r="H16">
        <v>1.1100000000000001</v>
      </c>
      <c r="I16">
        <v>50</v>
      </c>
    </row>
    <row r="17" spans="1:10" x14ac:dyDescent="0.25">
      <c r="A17" t="s">
        <v>94</v>
      </c>
      <c r="B17" t="s">
        <v>7</v>
      </c>
      <c r="C17" t="s">
        <v>53</v>
      </c>
      <c r="D17" t="s">
        <v>95</v>
      </c>
      <c r="E17" t="s">
        <v>96</v>
      </c>
      <c r="F17" t="s">
        <v>11</v>
      </c>
      <c r="G17" s="6" t="s">
        <v>167</v>
      </c>
    </row>
    <row r="18" spans="1:10" x14ac:dyDescent="0.25">
      <c r="A18" t="s">
        <v>97</v>
      </c>
      <c r="B18" t="s">
        <v>7</v>
      </c>
      <c r="C18" t="s">
        <v>34</v>
      </c>
      <c r="D18" t="s">
        <v>95</v>
      </c>
      <c r="E18" t="s">
        <v>96</v>
      </c>
      <c r="F18" t="s">
        <v>11</v>
      </c>
      <c r="G18" s="6" t="s">
        <v>167</v>
      </c>
    </row>
    <row r="19" spans="1:10" x14ac:dyDescent="0.25">
      <c r="A19" t="s">
        <v>98</v>
      </c>
      <c r="B19" t="s">
        <v>7</v>
      </c>
      <c r="C19" t="s">
        <v>53</v>
      </c>
      <c r="D19" t="s">
        <v>99</v>
      </c>
      <c r="E19" t="s">
        <v>51</v>
      </c>
      <c r="F19" t="s">
        <v>11</v>
      </c>
      <c r="G19" s="6" t="s">
        <v>167</v>
      </c>
    </row>
    <row r="20" spans="1:10" x14ac:dyDescent="0.25">
      <c r="A20" t="s">
        <v>100</v>
      </c>
      <c r="B20" t="s">
        <v>7</v>
      </c>
      <c r="C20" t="s">
        <v>30</v>
      </c>
      <c r="D20" t="s">
        <v>99</v>
      </c>
      <c r="E20" t="s">
        <v>51</v>
      </c>
      <c r="F20" t="s">
        <v>11</v>
      </c>
      <c r="G20" s="6" t="s">
        <v>167</v>
      </c>
      <c r="J20" s="6"/>
    </row>
    <row r="21" spans="1:10" x14ac:dyDescent="0.25">
      <c r="A21" t="s">
        <v>101</v>
      </c>
      <c r="B21" t="s">
        <v>7</v>
      </c>
      <c r="C21" t="s">
        <v>53</v>
      </c>
      <c r="D21" t="s">
        <v>102</v>
      </c>
      <c r="E21" t="s">
        <v>51</v>
      </c>
      <c r="F21" t="s">
        <v>11</v>
      </c>
      <c r="G21" s="6" t="s">
        <v>167</v>
      </c>
    </row>
    <row r="22" spans="1:10" x14ac:dyDescent="0.25">
      <c r="A22" t="s">
        <v>103</v>
      </c>
      <c r="B22" t="s">
        <v>7</v>
      </c>
      <c r="C22" t="s">
        <v>53</v>
      </c>
      <c r="D22" t="s">
        <v>104</v>
      </c>
      <c r="E22" t="s">
        <v>51</v>
      </c>
      <c r="F22" t="s">
        <v>11</v>
      </c>
      <c r="G22" s="6" t="s">
        <v>167</v>
      </c>
    </row>
    <row r="23" spans="1:10" x14ac:dyDescent="0.25">
      <c r="A23" t="s">
        <v>105</v>
      </c>
      <c r="B23" t="s">
        <v>7</v>
      </c>
      <c r="C23" t="s">
        <v>53</v>
      </c>
      <c r="D23" t="s">
        <v>104</v>
      </c>
      <c r="E23" t="s">
        <v>51</v>
      </c>
      <c r="F23" t="s">
        <v>11</v>
      </c>
      <c r="G23" s="6" t="s">
        <v>167</v>
      </c>
    </row>
    <row r="24" spans="1:10" x14ac:dyDescent="0.25">
      <c r="A24" t="s">
        <v>106</v>
      </c>
      <c r="B24" t="s">
        <v>107</v>
      </c>
      <c r="C24" t="s">
        <v>53</v>
      </c>
      <c r="D24" t="s">
        <v>108</v>
      </c>
      <c r="F24" t="s">
        <v>60</v>
      </c>
      <c r="G24" s="6" t="s">
        <v>167</v>
      </c>
    </row>
    <row r="25" spans="1:10" x14ac:dyDescent="0.25">
      <c r="A25" t="s">
        <v>109</v>
      </c>
      <c r="B25" t="s">
        <v>107</v>
      </c>
      <c r="C25" t="s">
        <v>110</v>
      </c>
      <c r="D25" t="s">
        <v>111</v>
      </c>
      <c r="F25" t="s">
        <v>60</v>
      </c>
      <c r="G25" s="6" t="s">
        <v>167</v>
      </c>
    </row>
    <row r="26" spans="1:10" x14ac:dyDescent="0.25">
      <c r="A26" t="s">
        <v>112</v>
      </c>
      <c r="B26" t="s">
        <v>107</v>
      </c>
      <c r="C26" t="s">
        <v>113</v>
      </c>
      <c r="D26" t="s">
        <v>114</v>
      </c>
      <c r="F26" t="s">
        <v>60</v>
      </c>
      <c r="G26" s="6" t="s">
        <v>167</v>
      </c>
    </row>
    <row r="27" spans="1:10" x14ac:dyDescent="0.25">
      <c r="A27" t="s">
        <v>115</v>
      </c>
      <c r="B27" t="s">
        <v>107</v>
      </c>
      <c r="C27" t="s">
        <v>116</v>
      </c>
      <c r="D27" t="s">
        <v>117</v>
      </c>
      <c r="F27" t="s">
        <v>60</v>
      </c>
      <c r="G27" s="6" t="s">
        <v>167</v>
      </c>
    </row>
    <row r="28" spans="1:10" x14ac:dyDescent="0.25">
      <c r="A28" t="s">
        <v>118</v>
      </c>
      <c r="B28" t="s">
        <v>107</v>
      </c>
      <c r="C28" t="s">
        <v>53</v>
      </c>
      <c r="D28" t="s">
        <v>119</v>
      </c>
      <c r="F28" t="s">
        <v>60</v>
      </c>
      <c r="G28" s="6" t="s">
        <v>167</v>
      </c>
    </row>
    <row r="29" spans="1:10" x14ac:dyDescent="0.25">
      <c r="A29" t="s">
        <v>120</v>
      </c>
      <c r="B29" t="s">
        <v>107</v>
      </c>
      <c r="C29" t="s">
        <v>53</v>
      </c>
      <c r="D29" t="s">
        <v>121</v>
      </c>
      <c r="F29" t="s">
        <v>60</v>
      </c>
      <c r="G29" s="6" t="s">
        <v>167</v>
      </c>
    </row>
    <row r="30" spans="1:10" x14ac:dyDescent="0.25">
      <c r="A30" t="s">
        <v>122</v>
      </c>
      <c r="B30" t="s">
        <v>107</v>
      </c>
      <c r="C30" t="s">
        <v>123</v>
      </c>
      <c r="D30" t="s">
        <v>124</v>
      </c>
      <c r="F30" t="s">
        <v>60</v>
      </c>
      <c r="G30" s="6" t="s">
        <v>167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5999E-EFA7-4127-9F18-A08A7B54BAE2}">
  <dimension ref="A1:K23"/>
  <sheetViews>
    <sheetView topLeftCell="D1" zoomScale="115" zoomScaleNormal="115" workbookViewId="0">
      <selection activeCell="L10" sqref="L10"/>
    </sheetView>
  </sheetViews>
  <sheetFormatPr defaultRowHeight="13.8" x14ac:dyDescent="0.25"/>
  <cols>
    <col min="1" max="1" width="153.88671875" bestFit="1" customWidth="1"/>
    <col min="6" max="6" width="41.88671875" bestFit="1" customWidth="1"/>
    <col min="7" max="7" width="16.88671875" bestFit="1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161</v>
      </c>
      <c r="H1" s="4" t="s">
        <v>162</v>
      </c>
      <c r="I1" s="4" t="s">
        <v>163</v>
      </c>
      <c r="J1" s="4" t="s">
        <v>164</v>
      </c>
      <c r="K1" s="5" t="s">
        <v>165</v>
      </c>
    </row>
    <row r="2" spans="1:11" x14ac:dyDescent="0.25">
      <c r="A2" t="s">
        <v>6</v>
      </c>
      <c r="B2" t="s">
        <v>7</v>
      </c>
      <c r="C2" t="s">
        <v>8</v>
      </c>
      <c r="D2" t="s">
        <v>125</v>
      </c>
      <c r="E2" t="s">
        <v>10</v>
      </c>
      <c r="F2" t="s">
        <v>11</v>
      </c>
      <c r="G2" s="6" t="s">
        <v>166</v>
      </c>
      <c r="H2" s="7">
        <v>79462</v>
      </c>
      <c r="I2">
        <v>20</v>
      </c>
      <c r="K2">
        <v>0</v>
      </c>
    </row>
    <row r="3" spans="1:11" x14ac:dyDescent="0.25">
      <c r="A3" t="s">
        <v>12</v>
      </c>
      <c r="B3" t="s">
        <v>47</v>
      </c>
      <c r="C3" t="s">
        <v>14</v>
      </c>
      <c r="D3" t="s">
        <v>126</v>
      </c>
      <c r="E3" t="s">
        <v>10</v>
      </c>
      <c r="F3" t="s">
        <v>11</v>
      </c>
      <c r="G3" s="6" t="s">
        <v>166</v>
      </c>
    </row>
    <row r="4" spans="1:11" x14ac:dyDescent="0.25">
      <c r="A4" t="s">
        <v>127</v>
      </c>
      <c r="B4" t="s">
        <v>7</v>
      </c>
      <c r="C4" t="s">
        <v>128</v>
      </c>
      <c r="D4" t="s">
        <v>129</v>
      </c>
      <c r="E4" t="s">
        <v>10</v>
      </c>
      <c r="F4" t="s">
        <v>11</v>
      </c>
      <c r="G4" s="6" t="s">
        <v>173</v>
      </c>
    </row>
    <row r="5" spans="1:11" x14ac:dyDescent="0.25">
      <c r="A5" t="s">
        <v>130</v>
      </c>
      <c r="B5" t="s">
        <v>7</v>
      </c>
      <c r="C5" t="s">
        <v>30</v>
      </c>
      <c r="D5" t="s">
        <v>129</v>
      </c>
      <c r="E5" t="s">
        <v>10</v>
      </c>
      <c r="F5" t="s">
        <v>11</v>
      </c>
      <c r="G5" s="6" t="s">
        <v>173</v>
      </c>
      <c r="I5">
        <v>22</v>
      </c>
    </row>
    <row r="6" spans="1:11" x14ac:dyDescent="0.25">
      <c r="A6" t="s">
        <v>23</v>
      </c>
      <c r="B6" t="s">
        <v>7</v>
      </c>
      <c r="C6" t="s">
        <v>24</v>
      </c>
      <c r="D6" t="s">
        <v>131</v>
      </c>
      <c r="E6" t="s">
        <v>26</v>
      </c>
      <c r="F6" t="s">
        <v>11</v>
      </c>
      <c r="G6" s="9" t="s">
        <v>166</v>
      </c>
      <c r="H6">
        <v>672</v>
      </c>
      <c r="I6">
        <v>29</v>
      </c>
      <c r="K6">
        <v>0</v>
      </c>
    </row>
    <row r="7" spans="1:11" x14ac:dyDescent="0.25">
      <c r="A7" t="s">
        <v>132</v>
      </c>
      <c r="B7" t="s">
        <v>7</v>
      </c>
      <c r="C7" t="s">
        <v>24</v>
      </c>
      <c r="D7" t="s">
        <v>131</v>
      </c>
      <c r="E7" t="s">
        <v>26</v>
      </c>
      <c r="F7" t="s">
        <v>11</v>
      </c>
      <c r="G7" s="9" t="s">
        <v>166</v>
      </c>
      <c r="H7">
        <v>49</v>
      </c>
      <c r="I7">
        <v>29</v>
      </c>
      <c r="K7">
        <v>0</v>
      </c>
    </row>
    <row r="8" spans="1:11" x14ac:dyDescent="0.25">
      <c r="A8" t="s">
        <v>36</v>
      </c>
      <c r="B8" t="s">
        <v>7</v>
      </c>
      <c r="C8" t="s">
        <v>37</v>
      </c>
      <c r="D8" t="s">
        <v>133</v>
      </c>
      <c r="E8" t="s">
        <v>39</v>
      </c>
      <c r="F8" t="s">
        <v>11</v>
      </c>
      <c r="G8" s="6" t="s">
        <v>168</v>
      </c>
      <c r="H8" s="6">
        <v>1.1100000000000001</v>
      </c>
      <c r="I8">
        <v>50</v>
      </c>
    </row>
    <row r="9" spans="1:11" x14ac:dyDescent="0.25">
      <c r="A9" t="s">
        <v>134</v>
      </c>
      <c r="B9" t="s">
        <v>7</v>
      </c>
      <c r="C9" t="s">
        <v>37</v>
      </c>
      <c r="D9" t="s">
        <v>133</v>
      </c>
      <c r="E9" t="s">
        <v>39</v>
      </c>
      <c r="F9" t="s">
        <v>11</v>
      </c>
      <c r="G9" s="6" t="s">
        <v>168</v>
      </c>
      <c r="I9">
        <v>5</v>
      </c>
    </row>
    <row r="10" spans="1:11" x14ac:dyDescent="0.25">
      <c r="A10" t="s">
        <v>135</v>
      </c>
      <c r="B10" t="s">
        <v>7</v>
      </c>
      <c r="C10" t="s">
        <v>37</v>
      </c>
      <c r="D10" t="s">
        <v>133</v>
      </c>
      <c r="E10" t="s">
        <v>39</v>
      </c>
      <c r="F10" t="s">
        <v>11</v>
      </c>
      <c r="G10" s="6" t="s">
        <v>167</v>
      </c>
    </row>
    <row r="11" spans="1:11" x14ac:dyDescent="0.25">
      <c r="A11" t="s">
        <v>136</v>
      </c>
      <c r="B11" t="s">
        <v>7</v>
      </c>
      <c r="C11" t="s">
        <v>37</v>
      </c>
      <c r="D11" t="s">
        <v>133</v>
      </c>
      <c r="E11" t="s">
        <v>39</v>
      </c>
      <c r="F11" t="s">
        <v>11</v>
      </c>
      <c r="G11" s="6" t="s">
        <v>167</v>
      </c>
    </row>
    <row r="12" spans="1:11" x14ac:dyDescent="0.25">
      <c r="A12" t="s">
        <v>137</v>
      </c>
      <c r="B12" t="s">
        <v>7</v>
      </c>
      <c r="C12" t="s">
        <v>34</v>
      </c>
      <c r="D12" t="s">
        <v>138</v>
      </c>
      <c r="E12" t="s">
        <v>139</v>
      </c>
      <c r="F12" t="s">
        <v>11</v>
      </c>
      <c r="G12" s="6" t="s">
        <v>167</v>
      </c>
    </row>
    <row r="13" spans="1:11" x14ac:dyDescent="0.25">
      <c r="A13" t="s">
        <v>140</v>
      </c>
      <c r="B13" t="s">
        <v>7</v>
      </c>
      <c r="C13" t="s">
        <v>53</v>
      </c>
      <c r="D13" t="s">
        <v>141</v>
      </c>
      <c r="E13" t="s">
        <v>51</v>
      </c>
      <c r="F13" t="s">
        <v>11</v>
      </c>
      <c r="G13" s="6" t="s">
        <v>168</v>
      </c>
      <c r="I13">
        <v>5</v>
      </c>
    </row>
    <row r="14" spans="1:11" x14ac:dyDescent="0.25">
      <c r="A14" t="s">
        <v>142</v>
      </c>
      <c r="B14" t="s">
        <v>7</v>
      </c>
      <c r="C14" t="s">
        <v>53</v>
      </c>
      <c r="D14" t="s">
        <v>143</v>
      </c>
      <c r="E14" t="s">
        <v>51</v>
      </c>
      <c r="F14" t="s">
        <v>11</v>
      </c>
      <c r="G14" s="6" t="s">
        <v>168</v>
      </c>
      <c r="I14">
        <v>13</v>
      </c>
    </row>
    <row r="15" spans="1:11" x14ac:dyDescent="0.25">
      <c r="A15" t="s">
        <v>144</v>
      </c>
      <c r="B15" t="s">
        <v>7</v>
      </c>
      <c r="C15" t="s">
        <v>53</v>
      </c>
      <c r="D15" t="s">
        <v>143</v>
      </c>
      <c r="E15" t="s">
        <v>51</v>
      </c>
      <c r="F15" t="s">
        <v>11</v>
      </c>
      <c r="G15" s="6" t="s">
        <v>167</v>
      </c>
    </row>
    <row r="16" spans="1:11" x14ac:dyDescent="0.25">
      <c r="A16" t="s">
        <v>145</v>
      </c>
      <c r="B16" t="s">
        <v>7</v>
      </c>
      <c r="C16" t="s">
        <v>53</v>
      </c>
      <c r="D16" t="s">
        <v>146</v>
      </c>
      <c r="E16" t="s">
        <v>51</v>
      </c>
      <c r="F16" t="s">
        <v>11</v>
      </c>
      <c r="G16" s="6" t="s">
        <v>167</v>
      </c>
    </row>
    <row r="17" spans="1:10" x14ac:dyDescent="0.25">
      <c r="A17" t="s">
        <v>147</v>
      </c>
      <c r="B17" t="s">
        <v>7</v>
      </c>
      <c r="C17" t="s">
        <v>37</v>
      </c>
      <c r="D17" t="s">
        <v>148</v>
      </c>
      <c r="E17" t="s">
        <v>51</v>
      </c>
      <c r="F17" t="s">
        <v>11</v>
      </c>
      <c r="G17" s="6" t="s">
        <v>167</v>
      </c>
    </row>
    <row r="18" spans="1:10" x14ac:dyDescent="0.25">
      <c r="A18" t="s">
        <v>149</v>
      </c>
      <c r="B18" t="s">
        <v>7</v>
      </c>
      <c r="C18" t="s">
        <v>53</v>
      </c>
      <c r="D18" t="s">
        <v>150</v>
      </c>
      <c r="F18" t="s">
        <v>60</v>
      </c>
      <c r="G18" s="6" t="s">
        <v>167</v>
      </c>
      <c r="H18" t="s">
        <v>175</v>
      </c>
      <c r="I18">
        <v>3</v>
      </c>
    </row>
    <row r="19" spans="1:10" x14ac:dyDescent="0.25">
      <c r="A19" t="s">
        <v>151</v>
      </c>
      <c r="B19" t="s">
        <v>7</v>
      </c>
      <c r="C19" t="s">
        <v>152</v>
      </c>
      <c r="D19" t="s">
        <v>153</v>
      </c>
      <c r="F19" t="s">
        <v>60</v>
      </c>
      <c r="G19" s="6" t="s">
        <v>174</v>
      </c>
    </row>
    <row r="20" spans="1:10" x14ac:dyDescent="0.25">
      <c r="A20" t="s">
        <v>154</v>
      </c>
      <c r="B20" t="s">
        <v>7</v>
      </c>
      <c r="C20" t="s">
        <v>155</v>
      </c>
      <c r="D20" t="s">
        <v>156</v>
      </c>
      <c r="F20" t="s">
        <v>60</v>
      </c>
      <c r="G20" s="6" t="s">
        <v>167</v>
      </c>
    </row>
    <row r="21" spans="1:10" x14ac:dyDescent="0.25">
      <c r="A21" t="s">
        <v>157</v>
      </c>
      <c r="B21" t="s">
        <v>7</v>
      </c>
      <c r="C21" t="s">
        <v>58</v>
      </c>
      <c r="D21" t="s">
        <v>158</v>
      </c>
      <c r="F21" t="s">
        <v>60</v>
      </c>
      <c r="G21" s="6" t="s">
        <v>167</v>
      </c>
    </row>
    <row r="22" spans="1:10" x14ac:dyDescent="0.25">
      <c r="A22" t="s">
        <v>159</v>
      </c>
      <c r="B22" t="s">
        <v>7</v>
      </c>
      <c r="C22" t="s">
        <v>53</v>
      </c>
      <c r="D22" t="s">
        <v>160</v>
      </c>
      <c r="F22" t="s">
        <v>60</v>
      </c>
      <c r="G22" s="6" t="s">
        <v>166</v>
      </c>
      <c r="H22" s="7">
        <v>108934</v>
      </c>
    </row>
    <row r="23" spans="1:10" x14ac:dyDescent="0.25">
      <c r="J23">
        <f>18/21</f>
        <v>0.8571428571428571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Air Freight &amp; Logistics</vt:lpstr>
      <vt:lpstr>Marine Transportation</vt:lpstr>
      <vt:lpstr>Rail Transportation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BW 蓝风</cp:lastModifiedBy>
  <dcterms:created xsi:type="dcterms:W3CDTF">2015-06-05T18:17:20Z</dcterms:created>
  <dcterms:modified xsi:type="dcterms:W3CDTF">2026-04-09T06:17:54Z</dcterms:modified>
</cp:coreProperties>
</file>